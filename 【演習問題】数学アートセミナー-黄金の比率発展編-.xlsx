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数学アートセミナー\数学アートセミナー-黄金の比率発展編-\githubアップロード用\"/>
    </mc:Choice>
  </mc:AlternateContent>
  <xr:revisionPtr revIDLastSave="0" documentId="8_{427654B5-4172-48FA-BE97-315BFCB81FE1}" xr6:coauthVersionLast="45" xr6:coauthVersionMax="45" xr10:uidLastSave="{00000000-0000-0000-0000-000000000000}"/>
  <bookViews>
    <workbookView xWindow="-108" yWindow="-108" windowWidth="23256" windowHeight="12576" xr2:uid="{0E0ABFD1-96BA-41A2-9FC8-34F36C692CE4}"/>
  </bookViews>
  <sheets>
    <sheet name="演習問題１（フィボナッチ数の生成）" sheetId="1" r:id="rId1"/>
    <sheet name="【解答】演習問題１（フィボナッチ数の生成）" sheetId="9" state="hidden" r:id="rId2"/>
    <sheet name="演習問題２（黄金比に近づける）" sheetId="2" r:id="rId3"/>
    <sheet name="【解答】演習問題２（黄金比に近づける）" sheetId="8" state="hidden" r:id="rId4"/>
    <sheet name="演習問題３（葉のつき方）" sheetId="6" r:id="rId5"/>
    <sheet name="演習問題４（ひまわりシミュレーション）" sheetId="3" r:id="rId6"/>
    <sheet name="【解答】演習問題４（ひまわりシミュレーション）" sheetId="7" state="hidden" r:id="rId7"/>
    <sheet name="花びらのバランスに関する分析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9" l="1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12" i="9"/>
  <c r="C14" i="9"/>
  <c r="C15" i="9" s="1"/>
  <c r="C13" i="9"/>
  <c r="I11" i="8"/>
  <c r="I16" i="8"/>
  <c r="I18" i="8" s="1"/>
  <c r="E8" i="7"/>
  <c r="C8" i="7" s="1"/>
  <c r="D363" i="7" s="1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B8" i="5"/>
  <c r="AB9" i="5"/>
  <c r="AB10" i="5"/>
  <c r="AB11" i="5"/>
  <c r="AB12" i="5"/>
  <c r="AB13" i="5"/>
  <c r="AB14" i="5"/>
  <c r="AB15" i="5"/>
  <c r="AB16" i="5"/>
  <c r="AB17" i="5"/>
  <c r="AB18" i="5"/>
  <c r="Z8" i="5"/>
  <c r="Z9" i="5"/>
  <c r="Z10" i="5"/>
  <c r="Z11" i="5"/>
  <c r="Z12" i="5"/>
  <c r="Z13" i="5"/>
  <c r="Z14" i="5"/>
  <c r="Z15" i="5"/>
  <c r="Z16" i="5"/>
  <c r="Z17" i="5"/>
  <c r="X8" i="5"/>
  <c r="X9" i="5"/>
  <c r="X10" i="5"/>
  <c r="X11" i="5"/>
  <c r="X12" i="5"/>
  <c r="X13" i="5"/>
  <c r="X14" i="5"/>
  <c r="X15" i="5"/>
  <c r="X16" i="5"/>
  <c r="V8" i="5"/>
  <c r="V9" i="5"/>
  <c r="V10" i="5"/>
  <c r="V11" i="5"/>
  <c r="V12" i="5"/>
  <c r="V13" i="5"/>
  <c r="V14" i="5"/>
  <c r="V15" i="5"/>
  <c r="T8" i="5"/>
  <c r="T9" i="5"/>
  <c r="T10" i="5"/>
  <c r="T11" i="5"/>
  <c r="T12" i="5"/>
  <c r="T13" i="5"/>
  <c r="T14" i="5"/>
  <c r="R8" i="5"/>
  <c r="R9" i="5"/>
  <c r="R10" i="5"/>
  <c r="R11" i="5"/>
  <c r="R12" i="5"/>
  <c r="R13" i="5"/>
  <c r="P8" i="5"/>
  <c r="P9" i="5"/>
  <c r="P10" i="5"/>
  <c r="P11" i="5"/>
  <c r="P12" i="5"/>
  <c r="N8" i="5"/>
  <c r="N9" i="5"/>
  <c r="N10" i="5"/>
  <c r="N11" i="5"/>
  <c r="L8" i="5"/>
  <c r="L9" i="5"/>
  <c r="L10" i="5"/>
  <c r="J8" i="5"/>
  <c r="J9" i="5"/>
  <c r="H8" i="5"/>
  <c r="C16" i="9" l="1"/>
  <c r="D18" i="7"/>
  <c r="D42" i="7"/>
  <c r="D69" i="7"/>
  <c r="C91" i="7"/>
  <c r="D133" i="7"/>
  <c r="C144" i="7"/>
  <c r="C176" i="7"/>
  <c r="D197" i="7"/>
  <c r="C219" i="7"/>
  <c r="C240" i="7"/>
  <c r="D261" i="7"/>
  <c r="C283" i="7"/>
  <c r="C304" i="7"/>
  <c r="C351" i="7"/>
  <c r="D12" i="7"/>
  <c r="D20" i="7"/>
  <c r="D28" i="7"/>
  <c r="D36" i="7"/>
  <c r="D44" i="7"/>
  <c r="D52" i="7"/>
  <c r="D61" i="7"/>
  <c r="C72" i="7"/>
  <c r="C83" i="7"/>
  <c r="D93" i="7"/>
  <c r="C104" i="7"/>
  <c r="C115" i="7"/>
  <c r="D125" i="7"/>
  <c r="C136" i="7"/>
  <c r="C147" i="7"/>
  <c r="D157" i="7"/>
  <c r="C168" i="7"/>
  <c r="C179" i="7"/>
  <c r="D189" i="7"/>
  <c r="C200" i="7"/>
  <c r="C211" i="7"/>
  <c r="D221" i="7"/>
  <c r="C232" i="7"/>
  <c r="C243" i="7"/>
  <c r="D253" i="7"/>
  <c r="C264" i="7"/>
  <c r="C275" i="7"/>
  <c r="D285" i="7"/>
  <c r="C296" i="7"/>
  <c r="C307" i="7"/>
  <c r="D317" i="7"/>
  <c r="C328" i="7"/>
  <c r="C339" i="7"/>
  <c r="D1012" i="7"/>
  <c r="D1010" i="7"/>
  <c r="D1008" i="7"/>
  <c r="D1006" i="7"/>
  <c r="D1004" i="7"/>
  <c r="D1002" i="7"/>
  <c r="D1000" i="7"/>
  <c r="D998" i="7"/>
  <c r="D996" i="7"/>
  <c r="D994" i="7"/>
  <c r="D992" i="7"/>
  <c r="D990" i="7"/>
  <c r="D988" i="7"/>
  <c r="D986" i="7"/>
  <c r="D984" i="7"/>
  <c r="D982" i="7"/>
  <c r="D980" i="7"/>
  <c r="D978" i="7"/>
  <c r="D976" i="7"/>
  <c r="D974" i="7"/>
  <c r="D972" i="7"/>
  <c r="D970" i="7"/>
  <c r="D968" i="7"/>
  <c r="D966" i="7"/>
  <c r="D964" i="7"/>
  <c r="D962" i="7"/>
  <c r="D960" i="7"/>
  <c r="D958" i="7"/>
  <c r="D956" i="7"/>
  <c r="D954" i="7"/>
  <c r="D952" i="7"/>
  <c r="D950" i="7"/>
  <c r="D948" i="7"/>
  <c r="D946" i="7"/>
  <c r="D944" i="7"/>
  <c r="D942" i="7"/>
  <c r="D940" i="7"/>
  <c r="D938" i="7"/>
  <c r="D936" i="7"/>
  <c r="D934" i="7"/>
  <c r="D932" i="7"/>
  <c r="D930" i="7"/>
  <c r="D928" i="7"/>
  <c r="D926" i="7"/>
  <c r="D924" i="7"/>
  <c r="D922" i="7"/>
  <c r="D920" i="7"/>
  <c r="D918" i="7"/>
  <c r="D916" i="7"/>
  <c r="D914" i="7"/>
  <c r="D912" i="7"/>
  <c r="D910" i="7"/>
  <c r="D908" i="7"/>
  <c r="D906" i="7"/>
  <c r="D904" i="7"/>
  <c r="D902" i="7"/>
  <c r="D900" i="7"/>
  <c r="D898" i="7"/>
  <c r="D896" i="7"/>
  <c r="D894" i="7"/>
  <c r="D892" i="7"/>
  <c r="D890" i="7"/>
  <c r="D888" i="7"/>
  <c r="D886" i="7"/>
  <c r="D884" i="7"/>
  <c r="D882" i="7"/>
  <c r="D880" i="7"/>
  <c r="D878" i="7"/>
  <c r="D876" i="7"/>
  <c r="D874" i="7"/>
  <c r="D872" i="7"/>
  <c r="D870" i="7"/>
  <c r="D868" i="7"/>
  <c r="D866" i="7"/>
  <c r="D864" i="7"/>
  <c r="D862" i="7"/>
  <c r="D860" i="7"/>
  <c r="D858" i="7"/>
  <c r="D856" i="7"/>
  <c r="D854" i="7"/>
  <c r="D852" i="7"/>
  <c r="D850" i="7"/>
  <c r="D848" i="7"/>
  <c r="C1011" i="7"/>
  <c r="C1008" i="7"/>
  <c r="D1005" i="7"/>
  <c r="C1003" i="7"/>
  <c r="C1000" i="7"/>
  <c r="D997" i="7"/>
  <c r="C995" i="7"/>
  <c r="C992" i="7"/>
  <c r="D989" i="7"/>
  <c r="C987" i="7"/>
  <c r="C984" i="7"/>
  <c r="D981" i="7"/>
  <c r="C979" i="7"/>
  <c r="C976" i="7"/>
  <c r="D973" i="7"/>
  <c r="C971" i="7"/>
  <c r="C968" i="7"/>
  <c r="D965" i="7"/>
  <c r="C963" i="7"/>
  <c r="C960" i="7"/>
  <c r="D957" i="7"/>
  <c r="C955" i="7"/>
  <c r="C952" i="7"/>
  <c r="D949" i="7"/>
  <c r="C947" i="7"/>
  <c r="C944" i="7"/>
  <c r="D941" i="7"/>
  <c r="C939" i="7"/>
  <c r="C936" i="7"/>
  <c r="D933" i="7"/>
  <c r="C931" i="7"/>
  <c r="C928" i="7"/>
  <c r="D925" i="7"/>
  <c r="C923" i="7"/>
  <c r="C920" i="7"/>
  <c r="D917" i="7"/>
  <c r="C915" i="7"/>
  <c r="C912" i="7"/>
  <c r="D909" i="7"/>
  <c r="C907" i="7"/>
  <c r="C904" i="7"/>
  <c r="D901" i="7"/>
  <c r="C899" i="7"/>
  <c r="C896" i="7"/>
  <c r="D893" i="7"/>
  <c r="C891" i="7"/>
  <c r="C888" i="7"/>
  <c r="D885" i="7"/>
  <c r="C883" i="7"/>
  <c r="C880" i="7"/>
  <c r="D877" i="7"/>
  <c r="C875" i="7"/>
  <c r="C872" i="7"/>
  <c r="D869" i="7"/>
  <c r="C867" i="7"/>
  <c r="C864" i="7"/>
  <c r="D861" i="7"/>
  <c r="C859" i="7"/>
  <c r="C856" i="7"/>
  <c r="D853" i="7"/>
  <c r="C851" i="7"/>
  <c r="C848" i="7"/>
  <c r="C846" i="7"/>
  <c r="C844" i="7"/>
  <c r="C842" i="7"/>
  <c r="C840" i="7"/>
  <c r="C838" i="7"/>
  <c r="C836" i="7"/>
  <c r="C834" i="7"/>
  <c r="C832" i="7"/>
  <c r="C1010" i="7"/>
  <c r="D1007" i="7"/>
  <c r="C1005" i="7"/>
  <c r="C1002" i="7"/>
  <c r="D999" i="7"/>
  <c r="C997" i="7"/>
  <c r="C994" i="7"/>
  <c r="D991" i="7"/>
  <c r="C989" i="7"/>
  <c r="C986" i="7"/>
  <c r="D983" i="7"/>
  <c r="C981" i="7"/>
  <c r="C978" i="7"/>
  <c r="D975" i="7"/>
  <c r="C973" i="7"/>
  <c r="C970" i="7"/>
  <c r="D967" i="7"/>
  <c r="C965" i="7"/>
  <c r="C962" i="7"/>
  <c r="D959" i="7"/>
  <c r="C957" i="7"/>
  <c r="C954" i="7"/>
  <c r="D951" i="7"/>
  <c r="C949" i="7"/>
  <c r="C946" i="7"/>
  <c r="D943" i="7"/>
  <c r="C941" i="7"/>
  <c r="C938" i="7"/>
  <c r="D935" i="7"/>
  <c r="C933" i="7"/>
  <c r="C930" i="7"/>
  <c r="D927" i="7"/>
  <c r="C925" i="7"/>
  <c r="C922" i="7"/>
  <c r="D919" i="7"/>
  <c r="C917" i="7"/>
  <c r="C914" i="7"/>
  <c r="D911" i="7"/>
  <c r="C909" i="7"/>
  <c r="C906" i="7"/>
  <c r="D903" i="7"/>
  <c r="C901" i="7"/>
  <c r="C898" i="7"/>
  <c r="D895" i="7"/>
  <c r="C893" i="7"/>
  <c r="C890" i="7"/>
  <c r="D887" i="7"/>
  <c r="C885" i="7"/>
  <c r="C882" i="7"/>
  <c r="D879" i="7"/>
  <c r="C877" i="7"/>
  <c r="C874" i="7"/>
  <c r="D871" i="7"/>
  <c r="C869" i="7"/>
  <c r="C866" i="7"/>
  <c r="D863" i="7"/>
  <c r="C861" i="7"/>
  <c r="C858" i="7"/>
  <c r="D855" i="7"/>
  <c r="C853" i="7"/>
  <c r="C850" i="7"/>
  <c r="D847" i="7"/>
  <c r="D845" i="7"/>
  <c r="D843" i="7"/>
  <c r="D841" i="7"/>
  <c r="D839" i="7"/>
  <c r="D837" i="7"/>
  <c r="D835" i="7"/>
  <c r="D833" i="7"/>
  <c r="D831" i="7"/>
  <c r="D829" i="7"/>
  <c r="D827" i="7"/>
  <c r="D825" i="7"/>
  <c r="D823" i="7"/>
  <c r="D821" i="7"/>
  <c r="D819" i="7"/>
  <c r="D817" i="7"/>
  <c r="D815" i="7"/>
  <c r="D813" i="7"/>
  <c r="D811" i="7"/>
  <c r="D809" i="7"/>
  <c r="D807" i="7"/>
  <c r="D805" i="7"/>
  <c r="C1012" i="7"/>
  <c r="C1013" i="7" s="1"/>
  <c r="D1009" i="7"/>
  <c r="C1007" i="7"/>
  <c r="C1004" i="7"/>
  <c r="D1001" i="7"/>
  <c r="C999" i="7"/>
  <c r="C996" i="7"/>
  <c r="D993" i="7"/>
  <c r="C991" i="7"/>
  <c r="C988" i="7"/>
  <c r="D985" i="7"/>
  <c r="C983" i="7"/>
  <c r="C980" i="7"/>
  <c r="D977" i="7"/>
  <c r="C975" i="7"/>
  <c r="C972" i="7"/>
  <c r="D969" i="7"/>
  <c r="C967" i="7"/>
  <c r="C964" i="7"/>
  <c r="D961" i="7"/>
  <c r="C959" i="7"/>
  <c r="C956" i="7"/>
  <c r="D953" i="7"/>
  <c r="C951" i="7"/>
  <c r="C948" i="7"/>
  <c r="D945" i="7"/>
  <c r="C943" i="7"/>
  <c r="C940" i="7"/>
  <c r="D937" i="7"/>
  <c r="C935" i="7"/>
  <c r="C932" i="7"/>
  <c r="D929" i="7"/>
  <c r="C927" i="7"/>
  <c r="C924" i="7"/>
  <c r="D921" i="7"/>
  <c r="C919" i="7"/>
  <c r="C916" i="7"/>
  <c r="D913" i="7"/>
  <c r="C911" i="7"/>
  <c r="C908" i="7"/>
  <c r="D905" i="7"/>
  <c r="C903" i="7"/>
  <c r="C900" i="7"/>
  <c r="D897" i="7"/>
  <c r="C895" i="7"/>
  <c r="C892" i="7"/>
  <c r="D889" i="7"/>
  <c r="C887" i="7"/>
  <c r="C884" i="7"/>
  <c r="D881" i="7"/>
  <c r="C879" i="7"/>
  <c r="C876" i="7"/>
  <c r="D873" i="7"/>
  <c r="C871" i="7"/>
  <c r="C868" i="7"/>
  <c r="D865" i="7"/>
  <c r="C863" i="7"/>
  <c r="C860" i="7"/>
  <c r="D857" i="7"/>
  <c r="C855" i="7"/>
  <c r="C852" i="7"/>
  <c r="D849" i="7"/>
  <c r="C847" i="7"/>
  <c r="C845" i="7"/>
  <c r="C843" i="7"/>
  <c r="C841" i="7"/>
  <c r="C839" i="7"/>
  <c r="C837" i="7"/>
  <c r="C835" i="7"/>
  <c r="C833" i="7"/>
  <c r="C831" i="7"/>
  <c r="C829" i="7"/>
  <c r="C827" i="7"/>
  <c r="C825" i="7"/>
  <c r="C823" i="7"/>
  <c r="C821" i="7"/>
  <c r="C819" i="7"/>
  <c r="C817" i="7"/>
  <c r="C815" i="7"/>
  <c r="C813" i="7"/>
  <c r="C811" i="7"/>
  <c r="C809" i="7"/>
  <c r="C807" i="7"/>
  <c r="C805" i="7"/>
  <c r="D1003" i="7"/>
  <c r="C993" i="7"/>
  <c r="C982" i="7"/>
  <c r="D971" i="7"/>
  <c r="C961" i="7"/>
  <c r="C950" i="7"/>
  <c r="D939" i="7"/>
  <c r="C929" i="7"/>
  <c r="C918" i="7"/>
  <c r="D907" i="7"/>
  <c r="C897" i="7"/>
  <c r="C886" i="7"/>
  <c r="D875" i="7"/>
  <c r="C865" i="7"/>
  <c r="C854" i="7"/>
  <c r="D844" i="7"/>
  <c r="D836" i="7"/>
  <c r="C830" i="7"/>
  <c r="C826" i="7"/>
  <c r="C822" i="7"/>
  <c r="C818" i="7"/>
  <c r="C814" i="7"/>
  <c r="C810" i="7"/>
  <c r="C806" i="7"/>
  <c r="C803" i="7"/>
  <c r="C801" i="7"/>
  <c r="C799" i="7"/>
  <c r="C797" i="7"/>
  <c r="C795" i="7"/>
  <c r="C793" i="7"/>
  <c r="C791" i="7"/>
  <c r="C789" i="7"/>
  <c r="C787" i="7"/>
  <c r="C785" i="7"/>
  <c r="C783" i="7"/>
  <c r="C781" i="7"/>
  <c r="C779" i="7"/>
  <c r="C777" i="7"/>
  <c r="C775" i="7"/>
  <c r="C773" i="7"/>
  <c r="C771" i="7"/>
  <c r="C769" i="7"/>
  <c r="C767" i="7"/>
  <c r="C765" i="7"/>
  <c r="C763" i="7"/>
  <c r="C761" i="7"/>
  <c r="C759" i="7"/>
  <c r="C757" i="7"/>
  <c r="C755" i="7"/>
  <c r="C753" i="7"/>
  <c r="C751" i="7"/>
  <c r="C749" i="7"/>
  <c r="C747" i="7"/>
  <c r="C745" i="7"/>
  <c r="C743" i="7"/>
  <c r="C741" i="7"/>
  <c r="C739" i="7"/>
  <c r="C737" i="7"/>
  <c r="C735" i="7"/>
  <c r="C733" i="7"/>
  <c r="C731" i="7"/>
  <c r="C729" i="7"/>
  <c r="C727" i="7"/>
  <c r="C725" i="7"/>
  <c r="C723" i="7"/>
  <c r="C721" i="7"/>
  <c r="C719" i="7"/>
  <c r="C717" i="7"/>
  <c r="C715" i="7"/>
  <c r="C713" i="7"/>
  <c r="C711" i="7"/>
  <c r="C709" i="7"/>
  <c r="C707" i="7"/>
  <c r="C705" i="7"/>
  <c r="C703" i="7"/>
  <c r="C701" i="7"/>
  <c r="C699" i="7"/>
  <c r="C697" i="7"/>
  <c r="C695" i="7"/>
  <c r="C693" i="7"/>
  <c r="C691" i="7"/>
  <c r="C689" i="7"/>
  <c r="C687" i="7"/>
  <c r="C685" i="7"/>
  <c r="C683" i="7"/>
  <c r="C681" i="7"/>
  <c r="C679" i="7"/>
  <c r="C677" i="7"/>
  <c r="C675" i="7"/>
  <c r="C673" i="7"/>
  <c r="C671" i="7"/>
  <c r="C669" i="7"/>
  <c r="C667" i="7"/>
  <c r="C665" i="7"/>
  <c r="C663" i="7"/>
  <c r="C661" i="7"/>
  <c r="C659" i="7"/>
  <c r="C657" i="7"/>
  <c r="C655" i="7"/>
  <c r="C653" i="7"/>
  <c r="C651" i="7"/>
  <c r="C649" i="7"/>
  <c r="C647" i="7"/>
  <c r="C645" i="7"/>
  <c r="C643" i="7"/>
  <c r="C641" i="7"/>
  <c r="C639" i="7"/>
  <c r="C637" i="7"/>
  <c r="C635" i="7"/>
  <c r="C633" i="7"/>
  <c r="C631" i="7"/>
  <c r="C629" i="7"/>
  <c r="C627" i="7"/>
  <c r="C625" i="7"/>
  <c r="C623" i="7"/>
  <c r="C621" i="7"/>
  <c r="C619" i="7"/>
  <c r="C617" i="7"/>
  <c r="C615" i="7"/>
  <c r="C613" i="7"/>
  <c r="C611" i="7"/>
  <c r="C609" i="7"/>
  <c r="C607" i="7"/>
  <c r="C605" i="7"/>
  <c r="C603" i="7"/>
  <c r="C601" i="7"/>
  <c r="C599" i="7"/>
  <c r="C597" i="7"/>
  <c r="C595" i="7"/>
  <c r="C593" i="7"/>
  <c r="C591" i="7"/>
  <c r="C589" i="7"/>
  <c r="C587" i="7"/>
  <c r="C585" i="7"/>
  <c r="C583" i="7"/>
  <c r="C581" i="7"/>
  <c r="C579" i="7"/>
  <c r="C577" i="7"/>
  <c r="C575" i="7"/>
  <c r="C573" i="7"/>
  <c r="C571" i="7"/>
  <c r="C569" i="7"/>
  <c r="C567" i="7"/>
  <c r="C565" i="7"/>
  <c r="C563" i="7"/>
  <c r="C561" i="7"/>
  <c r="C559" i="7"/>
  <c r="C557" i="7"/>
  <c r="C555" i="7"/>
  <c r="C553" i="7"/>
  <c r="C551" i="7"/>
  <c r="C549" i="7"/>
  <c r="C547" i="7"/>
  <c r="C545" i="7"/>
  <c r="C543" i="7"/>
  <c r="C541" i="7"/>
  <c r="C539" i="7"/>
  <c r="C537" i="7"/>
  <c r="C535" i="7"/>
  <c r="C533" i="7"/>
  <c r="C531" i="7"/>
  <c r="C529" i="7"/>
  <c r="C527" i="7"/>
  <c r="C525" i="7"/>
  <c r="C523" i="7"/>
  <c r="C521" i="7"/>
  <c r="C519" i="7"/>
  <c r="C517" i="7"/>
  <c r="C515" i="7"/>
  <c r="D1011" i="7"/>
  <c r="C1001" i="7"/>
  <c r="C990" i="7"/>
  <c r="D979" i="7"/>
  <c r="C969" i="7"/>
  <c r="C958" i="7"/>
  <c r="D947" i="7"/>
  <c r="C937" i="7"/>
  <c r="C926" i="7"/>
  <c r="D915" i="7"/>
  <c r="C905" i="7"/>
  <c r="C894" i="7"/>
  <c r="D883" i="7"/>
  <c r="C873" i="7"/>
  <c r="C862" i="7"/>
  <c r="D851" i="7"/>
  <c r="D842" i="7"/>
  <c r="D834" i="7"/>
  <c r="D828" i="7"/>
  <c r="D824" i="7"/>
  <c r="D820" i="7"/>
  <c r="D816" i="7"/>
  <c r="D812" i="7"/>
  <c r="D808" i="7"/>
  <c r="D804" i="7"/>
  <c r="D802" i="7"/>
  <c r="D800" i="7"/>
  <c r="D798" i="7"/>
  <c r="D796" i="7"/>
  <c r="D794" i="7"/>
  <c r="D792" i="7"/>
  <c r="D790" i="7"/>
  <c r="D788" i="7"/>
  <c r="D786" i="7"/>
  <c r="D784" i="7"/>
  <c r="D782" i="7"/>
  <c r="D780" i="7"/>
  <c r="D778" i="7"/>
  <c r="D776" i="7"/>
  <c r="D774" i="7"/>
  <c r="D772" i="7"/>
  <c r="D770" i="7"/>
  <c r="D768" i="7"/>
  <c r="D766" i="7"/>
  <c r="D764" i="7"/>
  <c r="D762" i="7"/>
  <c r="D760" i="7"/>
  <c r="D758" i="7"/>
  <c r="D756" i="7"/>
  <c r="D754" i="7"/>
  <c r="D752" i="7"/>
  <c r="D750" i="7"/>
  <c r="D748" i="7"/>
  <c r="D746" i="7"/>
  <c r="D744" i="7"/>
  <c r="D742" i="7"/>
  <c r="D740" i="7"/>
  <c r="D738" i="7"/>
  <c r="D736" i="7"/>
  <c r="D734" i="7"/>
  <c r="D732" i="7"/>
  <c r="D730" i="7"/>
  <c r="D728" i="7"/>
  <c r="D726" i="7"/>
  <c r="D724" i="7"/>
  <c r="D722" i="7"/>
  <c r="D720" i="7"/>
  <c r="D718" i="7"/>
  <c r="D716" i="7"/>
  <c r="D714" i="7"/>
  <c r="D712" i="7"/>
  <c r="D710" i="7"/>
  <c r="D708" i="7"/>
  <c r="D706" i="7"/>
  <c r="D704" i="7"/>
  <c r="D702" i="7"/>
  <c r="D700" i="7"/>
  <c r="D698" i="7"/>
  <c r="D696" i="7"/>
  <c r="D694" i="7"/>
  <c r="D692" i="7"/>
  <c r="D690" i="7"/>
  <c r="D688" i="7"/>
  <c r="D686" i="7"/>
  <c r="D684" i="7"/>
  <c r="D682" i="7"/>
  <c r="D680" i="7"/>
  <c r="D678" i="7"/>
  <c r="D676" i="7"/>
  <c r="D674" i="7"/>
  <c r="D672" i="7"/>
  <c r="D670" i="7"/>
  <c r="D668" i="7"/>
  <c r="D666" i="7"/>
  <c r="D664" i="7"/>
  <c r="D662" i="7"/>
  <c r="D660" i="7"/>
  <c r="D658" i="7"/>
  <c r="D656" i="7"/>
  <c r="D654" i="7"/>
  <c r="D652" i="7"/>
  <c r="D650" i="7"/>
  <c r="D648" i="7"/>
  <c r="D646" i="7"/>
  <c r="D644" i="7"/>
  <c r="D642" i="7"/>
  <c r="D640" i="7"/>
  <c r="D638" i="7"/>
  <c r="D636" i="7"/>
  <c r="D634" i="7"/>
  <c r="D632" i="7"/>
  <c r="D630" i="7"/>
  <c r="D628" i="7"/>
  <c r="D626" i="7"/>
  <c r="D624" i="7"/>
  <c r="D622" i="7"/>
  <c r="D620" i="7"/>
  <c r="D618" i="7"/>
  <c r="D616" i="7"/>
  <c r="D614" i="7"/>
  <c r="D612" i="7"/>
  <c r="D610" i="7"/>
  <c r="D608" i="7"/>
  <c r="D606" i="7"/>
  <c r="D604" i="7"/>
  <c r="D602" i="7"/>
  <c r="D600" i="7"/>
  <c r="D598" i="7"/>
  <c r="D596" i="7"/>
  <c r="D594" i="7"/>
  <c r="D592" i="7"/>
  <c r="D590" i="7"/>
  <c r="D588" i="7"/>
  <c r="D586" i="7"/>
  <c r="D584" i="7"/>
  <c r="D582" i="7"/>
  <c r="D580" i="7"/>
  <c r="D578" i="7"/>
  <c r="D576" i="7"/>
  <c r="D574" i="7"/>
  <c r="D572" i="7"/>
  <c r="D570" i="7"/>
  <c r="D568" i="7"/>
  <c r="D566" i="7"/>
  <c r="D564" i="7"/>
  <c r="D562" i="7"/>
  <c r="D560" i="7"/>
  <c r="D558" i="7"/>
  <c r="D556" i="7"/>
  <c r="D554" i="7"/>
  <c r="D552" i="7"/>
  <c r="D550" i="7"/>
  <c r="D548" i="7"/>
  <c r="D546" i="7"/>
  <c r="D544" i="7"/>
  <c r="D542" i="7"/>
  <c r="D540" i="7"/>
  <c r="D538" i="7"/>
  <c r="D536" i="7"/>
  <c r="D534" i="7"/>
  <c r="D532" i="7"/>
  <c r="D530" i="7"/>
  <c r="D528" i="7"/>
  <c r="D526" i="7"/>
  <c r="D524" i="7"/>
  <c r="D522" i="7"/>
  <c r="D520" i="7"/>
  <c r="D518" i="7"/>
  <c r="D516" i="7"/>
  <c r="D514" i="7"/>
  <c r="C1009" i="7"/>
  <c r="D987" i="7"/>
  <c r="C966" i="7"/>
  <c r="C945" i="7"/>
  <c r="D923" i="7"/>
  <c r="C902" i="7"/>
  <c r="C881" i="7"/>
  <c r="D859" i="7"/>
  <c r="D840" i="7"/>
  <c r="C828" i="7"/>
  <c r="C820" i="7"/>
  <c r="C812" i="7"/>
  <c r="C804" i="7"/>
  <c r="C800" i="7"/>
  <c r="C796" i="7"/>
  <c r="C792" i="7"/>
  <c r="C788" i="7"/>
  <c r="C784" i="7"/>
  <c r="C780" i="7"/>
  <c r="C776" i="7"/>
  <c r="C772" i="7"/>
  <c r="C768" i="7"/>
  <c r="C764" i="7"/>
  <c r="C760" i="7"/>
  <c r="C756" i="7"/>
  <c r="C752" i="7"/>
  <c r="C748" i="7"/>
  <c r="C744" i="7"/>
  <c r="C740" i="7"/>
  <c r="C736" i="7"/>
  <c r="C732" i="7"/>
  <c r="C728" i="7"/>
  <c r="C724" i="7"/>
  <c r="C720" i="7"/>
  <c r="C716" i="7"/>
  <c r="C712" i="7"/>
  <c r="C708" i="7"/>
  <c r="C704" i="7"/>
  <c r="C700" i="7"/>
  <c r="C696" i="7"/>
  <c r="C692" i="7"/>
  <c r="C688" i="7"/>
  <c r="C684" i="7"/>
  <c r="C680" i="7"/>
  <c r="C676" i="7"/>
  <c r="C672" i="7"/>
  <c r="C668" i="7"/>
  <c r="C664" i="7"/>
  <c r="C660" i="7"/>
  <c r="C656" i="7"/>
  <c r="C652" i="7"/>
  <c r="C648" i="7"/>
  <c r="C644" i="7"/>
  <c r="C640" i="7"/>
  <c r="C636" i="7"/>
  <c r="C632" i="7"/>
  <c r="C628" i="7"/>
  <c r="C624" i="7"/>
  <c r="C620" i="7"/>
  <c r="C616" i="7"/>
  <c r="C612" i="7"/>
  <c r="C608" i="7"/>
  <c r="C604" i="7"/>
  <c r="C600" i="7"/>
  <c r="C596" i="7"/>
  <c r="C592" i="7"/>
  <c r="C588" i="7"/>
  <c r="C584" i="7"/>
  <c r="C580" i="7"/>
  <c r="C576" i="7"/>
  <c r="C572" i="7"/>
  <c r="C568" i="7"/>
  <c r="C564" i="7"/>
  <c r="C560" i="7"/>
  <c r="C556" i="7"/>
  <c r="C552" i="7"/>
  <c r="C548" i="7"/>
  <c r="C544" i="7"/>
  <c r="C540" i="7"/>
  <c r="C536" i="7"/>
  <c r="C532" i="7"/>
  <c r="C528" i="7"/>
  <c r="C524" i="7"/>
  <c r="C520" i="7"/>
  <c r="C516" i="7"/>
  <c r="C513" i="7"/>
  <c r="C511" i="7"/>
  <c r="C509" i="7"/>
  <c r="C507" i="7"/>
  <c r="C505" i="7"/>
  <c r="C503" i="7"/>
  <c r="C501" i="7"/>
  <c r="C499" i="7"/>
  <c r="C497" i="7"/>
  <c r="C495" i="7"/>
  <c r="C493" i="7"/>
  <c r="C491" i="7"/>
  <c r="C489" i="7"/>
  <c r="C487" i="7"/>
  <c r="C485" i="7"/>
  <c r="C483" i="7"/>
  <c r="C481" i="7"/>
  <c r="C479" i="7"/>
  <c r="C477" i="7"/>
  <c r="C475" i="7"/>
  <c r="C473" i="7"/>
  <c r="C471" i="7"/>
  <c r="C469" i="7"/>
  <c r="C467" i="7"/>
  <c r="C465" i="7"/>
  <c r="C463" i="7"/>
  <c r="C461" i="7"/>
  <c r="C459" i="7"/>
  <c r="C457" i="7"/>
  <c r="C455" i="7"/>
  <c r="C453" i="7"/>
  <c r="C451" i="7"/>
  <c r="C449" i="7"/>
  <c r="C447" i="7"/>
  <c r="C445" i="7"/>
  <c r="C443" i="7"/>
  <c r="C441" i="7"/>
  <c r="C439" i="7"/>
  <c r="C437" i="7"/>
  <c r="C435" i="7"/>
  <c r="C433" i="7"/>
  <c r="C431" i="7"/>
  <c r="C429" i="7"/>
  <c r="C427" i="7"/>
  <c r="C425" i="7"/>
  <c r="C423" i="7"/>
  <c r="C421" i="7"/>
  <c r="C419" i="7"/>
  <c r="C417" i="7"/>
  <c r="C415" i="7"/>
  <c r="C413" i="7"/>
  <c r="C411" i="7"/>
  <c r="C409" i="7"/>
  <c r="C407" i="7"/>
  <c r="C405" i="7"/>
  <c r="C403" i="7"/>
  <c r="C401" i="7"/>
  <c r="C399" i="7"/>
  <c r="C397" i="7"/>
  <c r="C395" i="7"/>
  <c r="C393" i="7"/>
  <c r="C391" i="7"/>
  <c r="C389" i="7"/>
  <c r="C387" i="7"/>
  <c r="C385" i="7"/>
  <c r="C383" i="7"/>
  <c r="C381" i="7"/>
  <c r="C379" i="7"/>
  <c r="C377" i="7"/>
  <c r="C375" i="7"/>
  <c r="C373" i="7"/>
  <c r="C371" i="7"/>
  <c r="C369" i="7"/>
  <c r="C367" i="7"/>
  <c r="C365" i="7"/>
  <c r="C363" i="7"/>
  <c r="C361" i="7"/>
  <c r="C359" i="7"/>
  <c r="C1006" i="7"/>
  <c r="C985" i="7"/>
  <c r="D963" i="7"/>
  <c r="C942" i="7"/>
  <c r="C921" i="7"/>
  <c r="D899" i="7"/>
  <c r="C878" i="7"/>
  <c r="C857" i="7"/>
  <c r="D838" i="7"/>
  <c r="D826" i="7"/>
  <c r="D818" i="7"/>
  <c r="D810" i="7"/>
  <c r="D803" i="7"/>
  <c r="D799" i="7"/>
  <c r="D795" i="7"/>
  <c r="D791" i="7"/>
  <c r="D787" i="7"/>
  <c r="D783" i="7"/>
  <c r="D779" i="7"/>
  <c r="D775" i="7"/>
  <c r="D771" i="7"/>
  <c r="D767" i="7"/>
  <c r="D763" i="7"/>
  <c r="D759" i="7"/>
  <c r="D755" i="7"/>
  <c r="D751" i="7"/>
  <c r="D747" i="7"/>
  <c r="D743" i="7"/>
  <c r="D739" i="7"/>
  <c r="D735" i="7"/>
  <c r="D731" i="7"/>
  <c r="D727" i="7"/>
  <c r="D723" i="7"/>
  <c r="D719" i="7"/>
  <c r="D715" i="7"/>
  <c r="D711" i="7"/>
  <c r="D707" i="7"/>
  <c r="D703" i="7"/>
  <c r="D699" i="7"/>
  <c r="D695" i="7"/>
  <c r="D691" i="7"/>
  <c r="D687" i="7"/>
  <c r="D683" i="7"/>
  <c r="D679" i="7"/>
  <c r="D675" i="7"/>
  <c r="D671" i="7"/>
  <c r="D667" i="7"/>
  <c r="D663" i="7"/>
  <c r="D659" i="7"/>
  <c r="D655" i="7"/>
  <c r="D651" i="7"/>
  <c r="D647" i="7"/>
  <c r="D643" i="7"/>
  <c r="D639" i="7"/>
  <c r="D635" i="7"/>
  <c r="D631" i="7"/>
  <c r="D627" i="7"/>
  <c r="D623" i="7"/>
  <c r="D619" i="7"/>
  <c r="D615" i="7"/>
  <c r="D611" i="7"/>
  <c r="D607" i="7"/>
  <c r="D603" i="7"/>
  <c r="D599" i="7"/>
  <c r="D595" i="7"/>
  <c r="D591" i="7"/>
  <c r="D587" i="7"/>
  <c r="D583" i="7"/>
  <c r="D579" i="7"/>
  <c r="D575" i="7"/>
  <c r="D571" i="7"/>
  <c r="D567" i="7"/>
  <c r="D563" i="7"/>
  <c r="D559" i="7"/>
  <c r="D555" i="7"/>
  <c r="D551" i="7"/>
  <c r="D547" i="7"/>
  <c r="D543" i="7"/>
  <c r="D539" i="7"/>
  <c r="D535" i="7"/>
  <c r="D531" i="7"/>
  <c r="D527" i="7"/>
  <c r="D523" i="7"/>
  <c r="D519" i="7"/>
  <c r="D515" i="7"/>
  <c r="D512" i="7"/>
  <c r="D510" i="7"/>
  <c r="D508" i="7"/>
  <c r="D506" i="7"/>
  <c r="D504" i="7"/>
  <c r="D502" i="7"/>
  <c r="D500" i="7"/>
  <c r="D498" i="7"/>
  <c r="D496" i="7"/>
  <c r="D494" i="7"/>
  <c r="D492" i="7"/>
  <c r="D490" i="7"/>
  <c r="D488" i="7"/>
  <c r="D486" i="7"/>
  <c r="D484" i="7"/>
  <c r="D482" i="7"/>
  <c r="D480" i="7"/>
  <c r="D478" i="7"/>
  <c r="D476" i="7"/>
  <c r="D474" i="7"/>
  <c r="D472" i="7"/>
  <c r="D470" i="7"/>
  <c r="D468" i="7"/>
  <c r="D466" i="7"/>
  <c r="D464" i="7"/>
  <c r="D462" i="7"/>
  <c r="D460" i="7"/>
  <c r="D458" i="7"/>
  <c r="D456" i="7"/>
  <c r="D454" i="7"/>
  <c r="D452" i="7"/>
  <c r="D450" i="7"/>
  <c r="D448" i="7"/>
  <c r="D446" i="7"/>
  <c r="D444" i="7"/>
  <c r="D442" i="7"/>
  <c r="D440" i="7"/>
  <c r="D438" i="7"/>
  <c r="D436" i="7"/>
  <c r="D434" i="7"/>
  <c r="D432" i="7"/>
  <c r="D430" i="7"/>
  <c r="D428" i="7"/>
  <c r="D426" i="7"/>
  <c r="D424" i="7"/>
  <c r="D422" i="7"/>
  <c r="D420" i="7"/>
  <c r="D418" i="7"/>
  <c r="D416" i="7"/>
  <c r="D414" i="7"/>
  <c r="D412" i="7"/>
  <c r="D410" i="7"/>
  <c r="D408" i="7"/>
  <c r="D406" i="7"/>
  <c r="D404" i="7"/>
  <c r="D402" i="7"/>
  <c r="D400" i="7"/>
  <c r="D398" i="7"/>
  <c r="D396" i="7"/>
  <c r="D394" i="7"/>
  <c r="D392" i="7"/>
  <c r="D390" i="7"/>
  <c r="D388" i="7"/>
  <c r="D386" i="7"/>
  <c r="D384" i="7"/>
  <c r="D382" i="7"/>
  <c r="D380" i="7"/>
  <c r="D378" i="7"/>
  <c r="D376" i="7"/>
  <c r="D374" i="7"/>
  <c r="D372" i="7"/>
  <c r="D370" i="7"/>
  <c r="D368" i="7"/>
  <c r="D366" i="7"/>
  <c r="D364" i="7"/>
  <c r="D362" i="7"/>
  <c r="D360" i="7"/>
  <c r="D358" i="7"/>
  <c r="D356" i="7"/>
  <c r="D354" i="7"/>
  <c r="D352" i="7"/>
  <c r="D350" i="7"/>
  <c r="D348" i="7"/>
  <c r="D346" i="7"/>
  <c r="D344" i="7"/>
  <c r="C998" i="7"/>
  <c r="D955" i="7"/>
  <c r="C913" i="7"/>
  <c r="C870" i="7"/>
  <c r="D832" i="7"/>
  <c r="C816" i="7"/>
  <c r="C802" i="7"/>
  <c r="C794" i="7"/>
  <c r="C786" i="7"/>
  <c r="C778" i="7"/>
  <c r="C770" i="7"/>
  <c r="C762" i="7"/>
  <c r="C754" i="7"/>
  <c r="C746" i="7"/>
  <c r="C738" i="7"/>
  <c r="C730" i="7"/>
  <c r="C722" i="7"/>
  <c r="C714" i="7"/>
  <c r="C706" i="7"/>
  <c r="C698" i="7"/>
  <c r="C690" i="7"/>
  <c r="C682" i="7"/>
  <c r="C674" i="7"/>
  <c r="C666" i="7"/>
  <c r="C658" i="7"/>
  <c r="C650" i="7"/>
  <c r="C642" i="7"/>
  <c r="C634" i="7"/>
  <c r="C626" i="7"/>
  <c r="C618" i="7"/>
  <c r="C610" i="7"/>
  <c r="C602" i="7"/>
  <c r="C594" i="7"/>
  <c r="C586" i="7"/>
  <c r="C578" i="7"/>
  <c r="C570" i="7"/>
  <c r="C562" i="7"/>
  <c r="C554" i="7"/>
  <c r="C546" i="7"/>
  <c r="C538" i="7"/>
  <c r="C530" i="7"/>
  <c r="C522" i="7"/>
  <c r="C514" i="7"/>
  <c r="C510" i="7"/>
  <c r="C506" i="7"/>
  <c r="C502" i="7"/>
  <c r="C498" i="7"/>
  <c r="C494" i="7"/>
  <c r="C490" i="7"/>
  <c r="C486" i="7"/>
  <c r="C482" i="7"/>
  <c r="C478" i="7"/>
  <c r="C474" i="7"/>
  <c r="C470" i="7"/>
  <c r="C466" i="7"/>
  <c r="C462" i="7"/>
  <c r="C458" i="7"/>
  <c r="C454" i="7"/>
  <c r="C450" i="7"/>
  <c r="C446" i="7"/>
  <c r="C442" i="7"/>
  <c r="C438" i="7"/>
  <c r="C434" i="7"/>
  <c r="C430" i="7"/>
  <c r="C426" i="7"/>
  <c r="C422" i="7"/>
  <c r="C418" i="7"/>
  <c r="C414" i="7"/>
  <c r="C410" i="7"/>
  <c r="C406" i="7"/>
  <c r="C402" i="7"/>
  <c r="C398" i="7"/>
  <c r="C394" i="7"/>
  <c r="C390" i="7"/>
  <c r="C386" i="7"/>
  <c r="C382" i="7"/>
  <c r="C378" i="7"/>
  <c r="C374" i="7"/>
  <c r="C370" i="7"/>
  <c r="C366" i="7"/>
  <c r="C362" i="7"/>
  <c r="C358" i="7"/>
  <c r="D355" i="7"/>
  <c r="C353" i="7"/>
  <c r="C350" i="7"/>
  <c r="D347" i="7"/>
  <c r="C345" i="7"/>
  <c r="D342" i="7"/>
  <c r="D340" i="7"/>
  <c r="D338" i="7"/>
  <c r="D336" i="7"/>
  <c r="D334" i="7"/>
  <c r="D332" i="7"/>
  <c r="D330" i="7"/>
  <c r="D328" i="7"/>
  <c r="D326" i="7"/>
  <c r="D324" i="7"/>
  <c r="D322" i="7"/>
  <c r="D320" i="7"/>
  <c r="D318" i="7"/>
  <c r="D316" i="7"/>
  <c r="D314" i="7"/>
  <c r="D312" i="7"/>
  <c r="D310" i="7"/>
  <c r="D308" i="7"/>
  <c r="D306" i="7"/>
  <c r="D304" i="7"/>
  <c r="D302" i="7"/>
  <c r="D300" i="7"/>
  <c r="D298" i="7"/>
  <c r="D296" i="7"/>
  <c r="D294" i="7"/>
  <c r="D292" i="7"/>
  <c r="D290" i="7"/>
  <c r="D288" i="7"/>
  <c r="D286" i="7"/>
  <c r="D284" i="7"/>
  <c r="D282" i="7"/>
  <c r="D280" i="7"/>
  <c r="D278" i="7"/>
  <c r="D276" i="7"/>
  <c r="D274" i="7"/>
  <c r="D272" i="7"/>
  <c r="D270" i="7"/>
  <c r="D268" i="7"/>
  <c r="D266" i="7"/>
  <c r="D264" i="7"/>
  <c r="D262" i="7"/>
  <c r="D260" i="7"/>
  <c r="D258" i="7"/>
  <c r="D256" i="7"/>
  <c r="D254" i="7"/>
  <c r="D252" i="7"/>
  <c r="D250" i="7"/>
  <c r="D248" i="7"/>
  <c r="D246" i="7"/>
  <c r="D244" i="7"/>
  <c r="D242" i="7"/>
  <c r="D240" i="7"/>
  <c r="D238" i="7"/>
  <c r="D236" i="7"/>
  <c r="D234" i="7"/>
  <c r="D232" i="7"/>
  <c r="D230" i="7"/>
  <c r="D228" i="7"/>
  <c r="D226" i="7"/>
  <c r="D224" i="7"/>
  <c r="D222" i="7"/>
  <c r="D220" i="7"/>
  <c r="D218" i="7"/>
  <c r="D216" i="7"/>
  <c r="D214" i="7"/>
  <c r="D212" i="7"/>
  <c r="D210" i="7"/>
  <c r="D208" i="7"/>
  <c r="D206" i="7"/>
  <c r="D204" i="7"/>
  <c r="D202" i="7"/>
  <c r="D200" i="7"/>
  <c r="D198" i="7"/>
  <c r="D196" i="7"/>
  <c r="D194" i="7"/>
  <c r="D192" i="7"/>
  <c r="D190" i="7"/>
  <c r="D188" i="7"/>
  <c r="D186" i="7"/>
  <c r="D184" i="7"/>
  <c r="D182" i="7"/>
  <c r="D180" i="7"/>
  <c r="D178" i="7"/>
  <c r="D176" i="7"/>
  <c r="D174" i="7"/>
  <c r="D172" i="7"/>
  <c r="D170" i="7"/>
  <c r="D168" i="7"/>
  <c r="D166" i="7"/>
  <c r="D164" i="7"/>
  <c r="D162" i="7"/>
  <c r="D160" i="7"/>
  <c r="D158" i="7"/>
  <c r="D156" i="7"/>
  <c r="D154" i="7"/>
  <c r="D152" i="7"/>
  <c r="D150" i="7"/>
  <c r="D148" i="7"/>
  <c r="D146" i="7"/>
  <c r="D144" i="7"/>
  <c r="D142" i="7"/>
  <c r="D140" i="7"/>
  <c r="D138" i="7"/>
  <c r="D136" i="7"/>
  <c r="D134" i="7"/>
  <c r="D132" i="7"/>
  <c r="D130" i="7"/>
  <c r="D128" i="7"/>
  <c r="D126" i="7"/>
  <c r="D124" i="7"/>
  <c r="D122" i="7"/>
  <c r="D120" i="7"/>
  <c r="D118" i="7"/>
  <c r="D116" i="7"/>
  <c r="D114" i="7"/>
  <c r="D112" i="7"/>
  <c r="D110" i="7"/>
  <c r="D108" i="7"/>
  <c r="D106" i="7"/>
  <c r="D104" i="7"/>
  <c r="D102" i="7"/>
  <c r="D100" i="7"/>
  <c r="D98" i="7"/>
  <c r="D96" i="7"/>
  <c r="D94" i="7"/>
  <c r="D92" i="7"/>
  <c r="D90" i="7"/>
  <c r="D88" i="7"/>
  <c r="D86" i="7"/>
  <c r="D84" i="7"/>
  <c r="D82" i="7"/>
  <c r="D80" i="7"/>
  <c r="D78" i="7"/>
  <c r="D76" i="7"/>
  <c r="D74" i="7"/>
  <c r="D72" i="7"/>
  <c r="D70" i="7"/>
  <c r="D68" i="7"/>
  <c r="D66" i="7"/>
  <c r="D64" i="7"/>
  <c r="D62" i="7"/>
  <c r="D60" i="7"/>
  <c r="D58" i="7"/>
  <c r="D995" i="7"/>
  <c r="C953" i="7"/>
  <c r="C910" i="7"/>
  <c r="D867" i="7"/>
  <c r="D830" i="7"/>
  <c r="D814" i="7"/>
  <c r="D801" i="7"/>
  <c r="D793" i="7"/>
  <c r="D785" i="7"/>
  <c r="D777" i="7"/>
  <c r="D769" i="7"/>
  <c r="D761" i="7"/>
  <c r="D753" i="7"/>
  <c r="D745" i="7"/>
  <c r="D737" i="7"/>
  <c r="D729" i="7"/>
  <c r="D721" i="7"/>
  <c r="D713" i="7"/>
  <c r="D705" i="7"/>
  <c r="D697" i="7"/>
  <c r="D689" i="7"/>
  <c r="D681" i="7"/>
  <c r="D673" i="7"/>
  <c r="D665" i="7"/>
  <c r="D657" i="7"/>
  <c r="D649" i="7"/>
  <c r="D641" i="7"/>
  <c r="D633" i="7"/>
  <c r="D625" i="7"/>
  <c r="D617" i="7"/>
  <c r="D609" i="7"/>
  <c r="D601" i="7"/>
  <c r="D593" i="7"/>
  <c r="D585" i="7"/>
  <c r="D577" i="7"/>
  <c r="D569" i="7"/>
  <c r="D561" i="7"/>
  <c r="D553" i="7"/>
  <c r="D545" i="7"/>
  <c r="D537" i="7"/>
  <c r="D529" i="7"/>
  <c r="D521" i="7"/>
  <c r="D513" i="7"/>
  <c r="D509" i="7"/>
  <c r="D505" i="7"/>
  <c r="D501" i="7"/>
  <c r="D497" i="7"/>
  <c r="D493" i="7"/>
  <c r="D489" i="7"/>
  <c r="D485" i="7"/>
  <c r="D481" i="7"/>
  <c r="D477" i="7"/>
  <c r="D473" i="7"/>
  <c r="D469" i="7"/>
  <c r="D465" i="7"/>
  <c r="D461" i="7"/>
  <c r="D457" i="7"/>
  <c r="D453" i="7"/>
  <c r="D449" i="7"/>
  <c r="D445" i="7"/>
  <c r="D441" i="7"/>
  <c r="D437" i="7"/>
  <c r="D433" i="7"/>
  <c r="D429" i="7"/>
  <c r="D425" i="7"/>
  <c r="D421" i="7"/>
  <c r="D417" i="7"/>
  <c r="D413" i="7"/>
  <c r="D409" i="7"/>
  <c r="D405" i="7"/>
  <c r="D401" i="7"/>
  <c r="D397" i="7"/>
  <c r="D393" i="7"/>
  <c r="D389" i="7"/>
  <c r="D385" i="7"/>
  <c r="D381" i="7"/>
  <c r="D377" i="7"/>
  <c r="D373" i="7"/>
  <c r="D369" i="7"/>
  <c r="D365" i="7"/>
  <c r="D361" i="7"/>
  <c r="D357" i="7"/>
  <c r="C355" i="7"/>
  <c r="C352" i="7"/>
  <c r="D349" i="7"/>
  <c r="C347" i="7"/>
  <c r="C977" i="7"/>
  <c r="C934" i="7"/>
  <c r="D891" i="7"/>
  <c r="C849" i="7"/>
  <c r="C824" i="7"/>
  <c r="C808" i="7"/>
  <c r="C798" i="7"/>
  <c r="C790" i="7"/>
  <c r="C782" i="7"/>
  <c r="C774" i="7"/>
  <c r="C766" i="7"/>
  <c r="C758" i="7"/>
  <c r="C750" i="7"/>
  <c r="C742" i="7"/>
  <c r="C734" i="7"/>
  <c r="C726" i="7"/>
  <c r="C718" i="7"/>
  <c r="C710" i="7"/>
  <c r="C702" i="7"/>
  <c r="C694" i="7"/>
  <c r="C686" i="7"/>
  <c r="C678" i="7"/>
  <c r="C670" i="7"/>
  <c r="C662" i="7"/>
  <c r="C654" i="7"/>
  <c r="C646" i="7"/>
  <c r="C638" i="7"/>
  <c r="C630" i="7"/>
  <c r="C622" i="7"/>
  <c r="C614" i="7"/>
  <c r="C606" i="7"/>
  <c r="C598" i="7"/>
  <c r="C590" i="7"/>
  <c r="C582" i="7"/>
  <c r="C574" i="7"/>
  <c r="C566" i="7"/>
  <c r="C558" i="7"/>
  <c r="C550" i="7"/>
  <c r="C542" i="7"/>
  <c r="C534" i="7"/>
  <c r="C526" i="7"/>
  <c r="C518" i="7"/>
  <c r="C512" i="7"/>
  <c r="C508" i="7"/>
  <c r="C504" i="7"/>
  <c r="C500" i="7"/>
  <c r="C496" i="7"/>
  <c r="C492" i="7"/>
  <c r="C488" i="7"/>
  <c r="C484" i="7"/>
  <c r="C480" i="7"/>
  <c r="C476" i="7"/>
  <c r="C472" i="7"/>
  <c r="C468" i="7"/>
  <c r="C464" i="7"/>
  <c r="C460" i="7"/>
  <c r="C456" i="7"/>
  <c r="C452" i="7"/>
  <c r="C448" i="7"/>
  <c r="C444" i="7"/>
  <c r="C440" i="7"/>
  <c r="C436" i="7"/>
  <c r="C432" i="7"/>
  <c r="C428" i="7"/>
  <c r="C424" i="7"/>
  <c r="C420" i="7"/>
  <c r="C416" i="7"/>
  <c r="C412" i="7"/>
  <c r="C408" i="7"/>
  <c r="C404" i="7"/>
  <c r="C400" i="7"/>
  <c r="C396" i="7"/>
  <c r="C392" i="7"/>
  <c r="C388" i="7"/>
  <c r="C384" i="7"/>
  <c r="C380" i="7"/>
  <c r="C376" i="7"/>
  <c r="C372" i="7"/>
  <c r="C368" i="7"/>
  <c r="C364" i="7"/>
  <c r="C360" i="7"/>
  <c r="C357" i="7"/>
  <c r="C354" i="7"/>
  <c r="D351" i="7"/>
  <c r="C349" i="7"/>
  <c r="C974" i="7"/>
  <c r="D822" i="7"/>
  <c r="D781" i="7"/>
  <c r="D749" i="7"/>
  <c r="D717" i="7"/>
  <c r="D685" i="7"/>
  <c r="D653" i="7"/>
  <c r="D621" i="7"/>
  <c r="D589" i="7"/>
  <c r="D557" i="7"/>
  <c r="D525" i="7"/>
  <c r="D503" i="7"/>
  <c r="D487" i="7"/>
  <c r="D471" i="7"/>
  <c r="D455" i="7"/>
  <c r="D439" i="7"/>
  <c r="D423" i="7"/>
  <c r="D407" i="7"/>
  <c r="D391" i="7"/>
  <c r="D375" i="7"/>
  <c r="D359" i="7"/>
  <c r="C348" i="7"/>
  <c r="D343" i="7"/>
  <c r="C341" i="7"/>
  <c r="C338" i="7"/>
  <c r="D335" i="7"/>
  <c r="C333" i="7"/>
  <c r="C330" i="7"/>
  <c r="D327" i="7"/>
  <c r="C325" i="7"/>
  <c r="C322" i="7"/>
  <c r="D319" i="7"/>
  <c r="C317" i="7"/>
  <c r="C314" i="7"/>
  <c r="D311" i="7"/>
  <c r="C309" i="7"/>
  <c r="C306" i="7"/>
  <c r="D303" i="7"/>
  <c r="C301" i="7"/>
  <c r="C298" i="7"/>
  <c r="D295" i="7"/>
  <c r="C293" i="7"/>
  <c r="C290" i="7"/>
  <c r="D287" i="7"/>
  <c r="C285" i="7"/>
  <c r="C282" i="7"/>
  <c r="D279" i="7"/>
  <c r="C277" i="7"/>
  <c r="C274" i="7"/>
  <c r="D271" i="7"/>
  <c r="C269" i="7"/>
  <c r="C266" i="7"/>
  <c r="D263" i="7"/>
  <c r="C261" i="7"/>
  <c r="C258" i="7"/>
  <c r="D255" i="7"/>
  <c r="C253" i="7"/>
  <c r="C250" i="7"/>
  <c r="D247" i="7"/>
  <c r="C245" i="7"/>
  <c r="C242" i="7"/>
  <c r="D239" i="7"/>
  <c r="C237" i="7"/>
  <c r="C234" i="7"/>
  <c r="D231" i="7"/>
  <c r="C229" i="7"/>
  <c r="C226" i="7"/>
  <c r="D223" i="7"/>
  <c r="C221" i="7"/>
  <c r="C218" i="7"/>
  <c r="D215" i="7"/>
  <c r="C213" i="7"/>
  <c r="C210" i="7"/>
  <c r="D207" i="7"/>
  <c r="C205" i="7"/>
  <c r="C202" i="7"/>
  <c r="D199" i="7"/>
  <c r="C197" i="7"/>
  <c r="C194" i="7"/>
  <c r="D191" i="7"/>
  <c r="C189" i="7"/>
  <c r="C186" i="7"/>
  <c r="D183" i="7"/>
  <c r="C181" i="7"/>
  <c r="C178" i="7"/>
  <c r="D175" i="7"/>
  <c r="C173" i="7"/>
  <c r="C170" i="7"/>
  <c r="D167" i="7"/>
  <c r="C165" i="7"/>
  <c r="C162" i="7"/>
  <c r="D159" i="7"/>
  <c r="C157" i="7"/>
  <c r="C154" i="7"/>
  <c r="D151" i="7"/>
  <c r="C149" i="7"/>
  <c r="C146" i="7"/>
  <c r="D143" i="7"/>
  <c r="C141" i="7"/>
  <c r="C138" i="7"/>
  <c r="D135" i="7"/>
  <c r="C133" i="7"/>
  <c r="C130" i="7"/>
  <c r="D127" i="7"/>
  <c r="C125" i="7"/>
  <c r="C122" i="7"/>
  <c r="D119" i="7"/>
  <c r="C117" i="7"/>
  <c r="C114" i="7"/>
  <c r="D111" i="7"/>
  <c r="C109" i="7"/>
  <c r="C106" i="7"/>
  <c r="D103" i="7"/>
  <c r="C101" i="7"/>
  <c r="C98" i="7"/>
  <c r="D95" i="7"/>
  <c r="C93" i="7"/>
  <c r="C90" i="7"/>
  <c r="D87" i="7"/>
  <c r="C85" i="7"/>
  <c r="C82" i="7"/>
  <c r="D79" i="7"/>
  <c r="C77" i="7"/>
  <c r="C74" i="7"/>
  <c r="D71" i="7"/>
  <c r="C69" i="7"/>
  <c r="C66" i="7"/>
  <c r="D63" i="7"/>
  <c r="C61" i="7"/>
  <c r="C58" i="7"/>
  <c r="C56" i="7"/>
  <c r="C54" i="7"/>
  <c r="C52" i="7"/>
  <c r="C50" i="7"/>
  <c r="C48" i="7"/>
  <c r="C46" i="7"/>
  <c r="C44" i="7"/>
  <c r="C42" i="7"/>
  <c r="C40" i="7"/>
  <c r="C38" i="7"/>
  <c r="C36" i="7"/>
  <c r="C34" i="7"/>
  <c r="C32" i="7"/>
  <c r="C30" i="7"/>
  <c r="C28" i="7"/>
  <c r="C26" i="7"/>
  <c r="C24" i="7"/>
  <c r="C22" i="7"/>
  <c r="C20" i="7"/>
  <c r="C18" i="7"/>
  <c r="C16" i="7"/>
  <c r="C14" i="7"/>
  <c r="C12" i="7"/>
  <c r="C346" i="7"/>
  <c r="C319" i="7"/>
  <c r="D313" i="7"/>
  <c r="C308" i="7"/>
  <c r="C303" i="7"/>
  <c r="D297" i="7"/>
  <c r="C292" i="7"/>
  <c r="C287" i="7"/>
  <c r="D281" i="7"/>
  <c r="C279" i="7"/>
  <c r="D273" i="7"/>
  <c r="C268" i="7"/>
  <c r="D265" i="7"/>
  <c r="C260" i="7"/>
  <c r="C255" i="7"/>
  <c r="D249" i="7"/>
  <c r="C247" i="7"/>
  <c r="D241" i="7"/>
  <c r="C236" i="7"/>
  <c r="D233" i="7"/>
  <c r="C228" i="7"/>
  <c r="C223" i="7"/>
  <c r="D217" i="7"/>
  <c r="C212" i="7"/>
  <c r="C207" i="7"/>
  <c r="D201" i="7"/>
  <c r="C199" i="7"/>
  <c r="D193" i="7"/>
  <c r="C188" i="7"/>
  <c r="D185" i="7"/>
  <c r="C180" i="7"/>
  <c r="C175" i="7"/>
  <c r="D169" i="7"/>
  <c r="C167" i="7"/>
  <c r="D161" i="7"/>
  <c r="C156" i="7"/>
  <c r="C151" i="7"/>
  <c r="C148" i="7"/>
  <c r="C143" i="7"/>
  <c r="D137" i="7"/>
  <c r="C132" i="7"/>
  <c r="C127" i="7"/>
  <c r="C124" i="7"/>
  <c r="C119" i="7"/>
  <c r="D113" i="7"/>
  <c r="C111" i="7"/>
  <c r="D105" i="7"/>
  <c r="C100" i="7"/>
  <c r="C95" i="7"/>
  <c r="C92" i="7"/>
  <c r="C87" i="7"/>
  <c r="D81" i="7"/>
  <c r="C79" i="7"/>
  <c r="D73" i="7"/>
  <c r="C68" i="7"/>
  <c r="C63" i="7"/>
  <c r="D57" i="7"/>
  <c r="D55" i="7"/>
  <c r="D51" i="7"/>
  <c r="D47" i="7"/>
  <c r="D43" i="7"/>
  <c r="D39" i="7"/>
  <c r="D37" i="7"/>
  <c r="D33" i="7"/>
  <c r="D29" i="7"/>
  <c r="D25" i="7"/>
  <c r="D21" i="7"/>
  <c r="D17" i="7"/>
  <c r="D13" i="7"/>
  <c r="D931" i="7"/>
  <c r="D806" i="7"/>
  <c r="D773" i="7"/>
  <c r="D741" i="7"/>
  <c r="D709" i="7"/>
  <c r="D677" i="7"/>
  <c r="D645" i="7"/>
  <c r="D613" i="7"/>
  <c r="D581" i="7"/>
  <c r="D549" i="7"/>
  <c r="D517" i="7"/>
  <c r="D499" i="7"/>
  <c r="D483" i="7"/>
  <c r="D467" i="7"/>
  <c r="D451" i="7"/>
  <c r="D435" i="7"/>
  <c r="D419" i="7"/>
  <c r="D403" i="7"/>
  <c r="D387" i="7"/>
  <c r="D371" i="7"/>
  <c r="C356" i="7"/>
  <c r="C343" i="7"/>
  <c r="C340" i="7"/>
  <c r="D337" i="7"/>
  <c r="C335" i="7"/>
  <c r="C332" i="7"/>
  <c r="D329" i="7"/>
  <c r="C327" i="7"/>
  <c r="C324" i="7"/>
  <c r="D321" i="7"/>
  <c r="C316" i="7"/>
  <c r="C311" i="7"/>
  <c r="D305" i="7"/>
  <c r="C300" i="7"/>
  <c r="C295" i="7"/>
  <c r="D289" i="7"/>
  <c r="C284" i="7"/>
  <c r="C276" i="7"/>
  <c r="C271" i="7"/>
  <c r="C263" i="7"/>
  <c r="D257" i="7"/>
  <c r="C252" i="7"/>
  <c r="C244" i="7"/>
  <c r="C239" i="7"/>
  <c r="C231" i="7"/>
  <c r="D225" i="7"/>
  <c r="C220" i="7"/>
  <c r="C215" i="7"/>
  <c r="D209" i="7"/>
  <c r="C204" i="7"/>
  <c r="C196" i="7"/>
  <c r="C191" i="7"/>
  <c r="C183" i="7"/>
  <c r="D177" i="7"/>
  <c r="C172" i="7"/>
  <c r="C164" i="7"/>
  <c r="C159" i="7"/>
  <c r="D153" i="7"/>
  <c r="D145" i="7"/>
  <c r="C140" i="7"/>
  <c r="C135" i="7"/>
  <c r="D129" i="7"/>
  <c r="D121" i="7"/>
  <c r="C116" i="7"/>
  <c r="C108" i="7"/>
  <c r="C103" i="7"/>
  <c r="D97" i="7"/>
  <c r="D89" i="7"/>
  <c r="C84" i="7"/>
  <c r="C76" i="7"/>
  <c r="C71" i="7"/>
  <c r="D65" i="7"/>
  <c r="C60" i="7"/>
  <c r="D53" i="7"/>
  <c r="D49" i="7"/>
  <c r="D45" i="7"/>
  <c r="D41" i="7"/>
  <c r="D35" i="7"/>
  <c r="D31" i="7"/>
  <c r="D27" i="7"/>
  <c r="D23" i="7"/>
  <c r="D19" i="7"/>
  <c r="D15" i="7"/>
  <c r="C889" i="7"/>
  <c r="D797" i="7"/>
  <c r="D765" i="7"/>
  <c r="D733" i="7"/>
  <c r="D701" i="7"/>
  <c r="D669" i="7"/>
  <c r="D637" i="7"/>
  <c r="D605" i="7"/>
  <c r="D573" i="7"/>
  <c r="D541" i="7"/>
  <c r="D511" i="7"/>
  <c r="D495" i="7"/>
  <c r="D479" i="7"/>
  <c r="D463" i="7"/>
  <c r="D447" i="7"/>
  <c r="D431" i="7"/>
  <c r="D415" i="7"/>
  <c r="D399" i="7"/>
  <c r="D383" i="7"/>
  <c r="D367" i="7"/>
  <c r="D353" i="7"/>
  <c r="D345" i="7"/>
  <c r="C342" i="7"/>
  <c r="D339" i="7"/>
  <c r="C337" i="7"/>
  <c r="C334" i="7"/>
  <c r="D331" i="7"/>
  <c r="C329" i="7"/>
  <c r="C326" i="7"/>
  <c r="D323" i="7"/>
  <c r="C321" i="7"/>
  <c r="C318" i="7"/>
  <c r="D315" i="7"/>
  <c r="C313" i="7"/>
  <c r="C310" i="7"/>
  <c r="D307" i="7"/>
  <c r="C305" i="7"/>
  <c r="C302" i="7"/>
  <c r="D299" i="7"/>
  <c r="C297" i="7"/>
  <c r="C294" i="7"/>
  <c r="D291" i="7"/>
  <c r="C289" i="7"/>
  <c r="C286" i="7"/>
  <c r="D283" i="7"/>
  <c r="C281" i="7"/>
  <c r="C278" i="7"/>
  <c r="D275" i="7"/>
  <c r="C273" i="7"/>
  <c r="C270" i="7"/>
  <c r="D267" i="7"/>
  <c r="C265" i="7"/>
  <c r="C262" i="7"/>
  <c r="D259" i="7"/>
  <c r="C257" i="7"/>
  <c r="C254" i="7"/>
  <c r="D251" i="7"/>
  <c r="C249" i="7"/>
  <c r="C246" i="7"/>
  <c r="D243" i="7"/>
  <c r="C241" i="7"/>
  <c r="C238" i="7"/>
  <c r="D235" i="7"/>
  <c r="C233" i="7"/>
  <c r="C230" i="7"/>
  <c r="D227" i="7"/>
  <c r="C225" i="7"/>
  <c r="C222" i="7"/>
  <c r="D219" i="7"/>
  <c r="C217" i="7"/>
  <c r="C214" i="7"/>
  <c r="D211" i="7"/>
  <c r="C209" i="7"/>
  <c r="C206" i="7"/>
  <c r="D203" i="7"/>
  <c r="C201" i="7"/>
  <c r="C198" i="7"/>
  <c r="D195" i="7"/>
  <c r="C193" i="7"/>
  <c r="C190" i="7"/>
  <c r="D187" i="7"/>
  <c r="C185" i="7"/>
  <c r="C182" i="7"/>
  <c r="D179" i="7"/>
  <c r="C177" i="7"/>
  <c r="C174" i="7"/>
  <c r="D171" i="7"/>
  <c r="C169" i="7"/>
  <c r="C166" i="7"/>
  <c r="D163" i="7"/>
  <c r="C161" i="7"/>
  <c r="C158" i="7"/>
  <c r="D155" i="7"/>
  <c r="C153" i="7"/>
  <c r="C150" i="7"/>
  <c r="D147" i="7"/>
  <c r="C145" i="7"/>
  <c r="C142" i="7"/>
  <c r="D139" i="7"/>
  <c r="C137" i="7"/>
  <c r="C134" i="7"/>
  <c r="D131" i="7"/>
  <c r="C129" i="7"/>
  <c r="C126" i="7"/>
  <c r="D123" i="7"/>
  <c r="C121" i="7"/>
  <c r="C118" i="7"/>
  <c r="D115" i="7"/>
  <c r="C113" i="7"/>
  <c r="C110" i="7"/>
  <c r="D107" i="7"/>
  <c r="C105" i="7"/>
  <c r="C102" i="7"/>
  <c r="D99" i="7"/>
  <c r="C97" i="7"/>
  <c r="C94" i="7"/>
  <c r="D91" i="7"/>
  <c r="C89" i="7"/>
  <c r="C86" i="7"/>
  <c r="D83" i="7"/>
  <c r="C81" i="7"/>
  <c r="C78" i="7"/>
  <c r="D75" i="7"/>
  <c r="C73" i="7"/>
  <c r="C70" i="7"/>
  <c r="D67" i="7"/>
  <c r="C65" i="7"/>
  <c r="C62" i="7"/>
  <c r="D59" i="7"/>
  <c r="C57" i="7"/>
  <c r="C55" i="7"/>
  <c r="C53" i="7"/>
  <c r="C51" i="7"/>
  <c r="C49" i="7"/>
  <c r="C47" i="7"/>
  <c r="C45" i="7"/>
  <c r="C43" i="7"/>
  <c r="C41" i="7"/>
  <c r="C39" i="7"/>
  <c r="C37" i="7"/>
  <c r="C35" i="7"/>
  <c r="C33" i="7"/>
  <c r="C31" i="7"/>
  <c r="C29" i="7"/>
  <c r="C27" i="7"/>
  <c r="C25" i="7"/>
  <c r="C23" i="7"/>
  <c r="C21" i="7"/>
  <c r="C19" i="7"/>
  <c r="C17" i="7"/>
  <c r="C15" i="7"/>
  <c r="C13" i="7"/>
  <c r="D846" i="7"/>
  <c r="D789" i="7"/>
  <c r="D757" i="7"/>
  <c r="D725" i="7"/>
  <c r="D693" i="7"/>
  <c r="D661" i="7"/>
  <c r="D629" i="7"/>
  <c r="D597" i="7"/>
  <c r="D565" i="7"/>
  <c r="D533" i="7"/>
  <c r="D507" i="7"/>
  <c r="D491" i="7"/>
  <c r="D475" i="7"/>
  <c r="D459" i="7"/>
  <c r="D443" i="7"/>
  <c r="D427" i="7"/>
  <c r="D411" i="7"/>
  <c r="D34" i="7"/>
  <c r="D50" i="7"/>
  <c r="C80" i="7"/>
  <c r="D101" i="7"/>
  <c r="C123" i="7"/>
  <c r="C155" i="7"/>
  <c r="C187" i="7"/>
  <c r="C208" i="7"/>
  <c r="D229" i="7"/>
  <c r="C251" i="7"/>
  <c r="C272" i="7"/>
  <c r="D293" i="7"/>
  <c r="C315" i="7"/>
  <c r="D325" i="7"/>
  <c r="D14" i="7"/>
  <c r="D22" i="7"/>
  <c r="D30" i="7"/>
  <c r="D38" i="7"/>
  <c r="D46" i="7"/>
  <c r="D54" i="7"/>
  <c r="C64" i="7"/>
  <c r="C75" i="7"/>
  <c r="D85" i="7"/>
  <c r="C96" i="7"/>
  <c r="C107" i="7"/>
  <c r="D117" i="7"/>
  <c r="C128" i="7"/>
  <c r="C139" i="7"/>
  <c r="D149" i="7"/>
  <c r="C160" i="7"/>
  <c r="C171" i="7"/>
  <c r="D181" i="7"/>
  <c r="C192" i="7"/>
  <c r="C203" i="7"/>
  <c r="D213" i="7"/>
  <c r="C224" i="7"/>
  <c r="C235" i="7"/>
  <c r="D245" i="7"/>
  <c r="C256" i="7"/>
  <c r="C267" i="7"/>
  <c r="D277" i="7"/>
  <c r="C288" i="7"/>
  <c r="C299" i="7"/>
  <c r="D309" i="7"/>
  <c r="C320" i="7"/>
  <c r="C331" i="7"/>
  <c r="D341" i="7"/>
  <c r="D379" i="7"/>
  <c r="D26" i="7"/>
  <c r="C59" i="7"/>
  <c r="C112" i="7"/>
  <c r="D165" i="7"/>
  <c r="C336" i="7"/>
  <c r="D16" i="7"/>
  <c r="D24" i="7"/>
  <c r="D32" i="7"/>
  <c r="D40" i="7"/>
  <c r="D48" i="7"/>
  <c r="D56" i="7"/>
  <c r="C67" i="7"/>
  <c r="D77" i="7"/>
  <c r="C88" i="7"/>
  <c r="C99" i="7"/>
  <c r="D109" i="7"/>
  <c r="C120" i="7"/>
  <c r="C131" i="7"/>
  <c r="D141" i="7"/>
  <c r="C152" i="7"/>
  <c r="C163" i="7"/>
  <c r="D173" i="7"/>
  <c r="C184" i="7"/>
  <c r="C195" i="7"/>
  <c r="D205" i="7"/>
  <c r="C216" i="7"/>
  <c r="C227" i="7"/>
  <c r="D237" i="7"/>
  <c r="C248" i="7"/>
  <c r="C259" i="7"/>
  <c r="D269" i="7"/>
  <c r="C280" i="7"/>
  <c r="C291" i="7"/>
  <c r="D301" i="7"/>
  <c r="C312" i="7"/>
  <c r="C323" i="7"/>
  <c r="D333" i="7"/>
  <c r="C344" i="7"/>
  <c r="D395" i="7"/>
  <c r="D1016" i="3"/>
  <c r="C1016" i="3"/>
  <c r="D1015" i="3"/>
  <c r="C1015" i="3"/>
  <c r="D1014" i="3"/>
  <c r="C1014" i="3"/>
  <c r="D1013" i="3"/>
  <c r="C1013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7" i="9" l="1"/>
  <c r="C1016" i="7"/>
  <c r="D1013" i="7"/>
  <c r="D1014" i="7" s="1"/>
  <c r="D1015" i="7" s="1"/>
  <c r="D1016" i="7" s="1"/>
  <c r="C1014" i="7"/>
  <c r="C1015" i="7" s="1"/>
  <c r="D101" i="6"/>
  <c r="D51" i="6"/>
  <c r="D112" i="6"/>
  <c r="C112" i="6"/>
  <c r="D111" i="6"/>
  <c r="C111" i="6"/>
  <c r="D110" i="6"/>
  <c r="C110" i="6"/>
  <c r="D8" i="6"/>
  <c r="C18" i="9" l="1"/>
  <c r="D93" i="6"/>
  <c r="D75" i="6"/>
  <c r="C10" i="6"/>
  <c r="D108" i="6"/>
  <c r="D43" i="6"/>
  <c r="D105" i="6"/>
  <c r="D97" i="6"/>
  <c r="D85" i="6"/>
  <c r="D59" i="6"/>
  <c r="D100" i="6"/>
  <c r="D89" i="6"/>
  <c r="D67" i="6"/>
  <c r="D33" i="6"/>
  <c r="D104" i="6"/>
  <c r="D96" i="6"/>
  <c r="D81" i="6"/>
  <c r="D88" i="6"/>
  <c r="D80" i="6"/>
  <c r="D73" i="6"/>
  <c r="D57" i="6"/>
  <c r="D27" i="6"/>
  <c r="D107" i="6"/>
  <c r="D103" i="6"/>
  <c r="D99" i="6"/>
  <c r="D95" i="6"/>
  <c r="D91" i="6"/>
  <c r="D87" i="6"/>
  <c r="D83" i="6"/>
  <c r="D79" i="6"/>
  <c r="D71" i="6"/>
  <c r="D63" i="6"/>
  <c r="D55" i="6"/>
  <c r="D47" i="6"/>
  <c r="D39" i="6"/>
  <c r="D92" i="6"/>
  <c r="D84" i="6"/>
  <c r="D65" i="6"/>
  <c r="D49" i="6"/>
  <c r="D41" i="6"/>
  <c r="D106" i="6"/>
  <c r="D102" i="6"/>
  <c r="D98" i="6"/>
  <c r="D94" i="6"/>
  <c r="D90" i="6"/>
  <c r="D86" i="6"/>
  <c r="D82" i="6"/>
  <c r="D77" i="6"/>
  <c r="D69" i="6"/>
  <c r="D61" i="6"/>
  <c r="D53" i="6"/>
  <c r="D45" i="6"/>
  <c r="D37" i="6"/>
  <c r="D9" i="6"/>
  <c r="C108" i="6"/>
  <c r="C106" i="6"/>
  <c r="C104" i="6"/>
  <c r="C102" i="6"/>
  <c r="C100" i="6"/>
  <c r="C98" i="6"/>
  <c r="C96" i="6"/>
  <c r="C94" i="6"/>
  <c r="C92" i="6"/>
  <c r="C90" i="6"/>
  <c r="C88" i="6"/>
  <c r="C86" i="6"/>
  <c r="C84" i="6"/>
  <c r="C82" i="6"/>
  <c r="C80" i="6"/>
  <c r="D76" i="6"/>
  <c r="D72" i="6"/>
  <c r="D68" i="6"/>
  <c r="D64" i="6"/>
  <c r="D60" i="6"/>
  <c r="D56" i="6"/>
  <c r="D52" i="6"/>
  <c r="D48" i="6"/>
  <c r="D44" i="6"/>
  <c r="D40" i="6"/>
  <c r="D36" i="6"/>
  <c r="D32" i="6"/>
  <c r="D23" i="6"/>
  <c r="D19" i="6"/>
  <c r="D35" i="6"/>
  <c r="D31" i="6"/>
  <c r="C8" i="6"/>
  <c r="C107" i="6"/>
  <c r="C105" i="6"/>
  <c r="C103" i="6"/>
  <c r="C101" i="6"/>
  <c r="C99" i="6"/>
  <c r="C97" i="6"/>
  <c r="C95" i="6"/>
  <c r="C93" i="6"/>
  <c r="C91" i="6"/>
  <c r="C89" i="6"/>
  <c r="C87" i="6"/>
  <c r="C85" i="6"/>
  <c r="C83" i="6"/>
  <c r="C81" i="6"/>
  <c r="D78" i="6"/>
  <c r="D74" i="6"/>
  <c r="D70" i="6"/>
  <c r="D66" i="6"/>
  <c r="D62" i="6"/>
  <c r="D58" i="6"/>
  <c r="D54" i="6"/>
  <c r="D50" i="6"/>
  <c r="D46" i="6"/>
  <c r="D42" i="6"/>
  <c r="D38" i="6"/>
  <c r="D34" i="6"/>
  <c r="D29" i="6"/>
  <c r="D15" i="6"/>
  <c r="D30" i="6"/>
  <c r="D26" i="6"/>
  <c r="D22" i="6"/>
  <c r="D18" i="6"/>
  <c r="D14" i="6"/>
  <c r="D25" i="6"/>
  <c r="D21" i="6"/>
  <c r="D17" i="6"/>
  <c r="D13" i="6"/>
  <c r="D28" i="6"/>
  <c r="D24" i="6"/>
  <c r="D20" i="6"/>
  <c r="D16" i="6"/>
  <c r="D12" i="6"/>
  <c r="C78" i="6"/>
  <c r="C76" i="6"/>
  <c r="C74" i="6"/>
  <c r="C72" i="6"/>
  <c r="C70" i="6"/>
  <c r="C68" i="6"/>
  <c r="C66" i="6"/>
  <c r="C64" i="6"/>
  <c r="C62" i="6"/>
  <c r="C60" i="6"/>
  <c r="C58" i="6"/>
  <c r="C56" i="6"/>
  <c r="C54" i="6"/>
  <c r="C52" i="6"/>
  <c r="C50" i="6"/>
  <c r="C48" i="6"/>
  <c r="C46" i="6"/>
  <c r="C44" i="6"/>
  <c r="C42" i="6"/>
  <c r="C40" i="6"/>
  <c r="C38" i="6"/>
  <c r="C36" i="6"/>
  <c r="C34" i="6"/>
  <c r="C32" i="6"/>
  <c r="C30" i="6"/>
  <c r="C28" i="6"/>
  <c r="C26" i="6"/>
  <c r="C24" i="6"/>
  <c r="C22" i="6"/>
  <c r="C20" i="6"/>
  <c r="C18" i="6"/>
  <c r="C16" i="6"/>
  <c r="C14" i="6"/>
  <c r="C12" i="6"/>
  <c r="D11" i="6"/>
  <c r="C79" i="6"/>
  <c r="C77" i="6"/>
  <c r="C75" i="6"/>
  <c r="C73" i="6"/>
  <c r="C71" i="6"/>
  <c r="C69" i="6"/>
  <c r="C67" i="6"/>
  <c r="C65" i="6"/>
  <c r="C63" i="6"/>
  <c r="C61" i="6"/>
  <c r="C59" i="6"/>
  <c r="C57" i="6"/>
  <c r="C55" i="6"/>
  <c r="C53" i="6"/>
  <c r="C51" i="6"/>
  <c r="C49" i="6"/>
  <c r="C47" i="6"/>
  <c r="C45" i="6"/>
  <c r="C43" i="6"/>
  <c r="C41" i="6"/>
  <c r="C39" i="6"/>
  <c r="C37" i="6"/>
  <c r="C35" i="6"/>
  <c r="C33" i="6"/>
  <c r="C31" i="6"/>
  <c r="C29" i="6"/>
  <c r="C27" i="6"/>
  <c r="C25" i="6"/>
  <c r="C23" i="6"/>
  <c r="C21" i="6"/>
  <c r="C19" i="6"/>
  <c r="C17" i="6"/>
  <c r="C15" i="6"/>
  <c r="C13" i="6"/>
  <c r="C11" i="6"/>
  <c r="C9" i="6"/>
  <c r="D10" i="6"/>
  <c r="K23" i="5"/>
  <c r="K15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K22" i="5" s="1"/>
  <c r="J20" i="5"/>
  <c r="K20" i="5" s="1"/>
  <c r="J19" i="5"/>
  <c r="J18" i="5"/>
  <c r="K18" i="5" s="1"/>
  <c r="J17" i="5"/>
  <c r="J16" i="5"/>
  <c r="K16" i="5" s="1"/>
  <c r="I37" i="5"/>
  <c r="K37" i="5" s="1"/>
  <c r="I36" i="5"/>
  <c r="K36" i="5" s="1"/>
  <c r="I35" i="5"/>
  <c r="K35" i="5" s="1"/>
  <c r="I34" i="5"/>
  <c r="K34" i="5" s="1"/>
  <c r="I33" i="5"/>
  <c r="K33" i="5" s="1"/>
  <c r="I32" i="5"/>
  <c r="K32" i="5" s="1"/>
  <c r="I31" i="5"/>
  <c r="K31" i="5" s="1"/>
  <c r="I30" i="5"/>
  <c r="K30" i="5" s="1"/>
  <c r="I29" i="5"/>
  <c r="K29" i="5" s="1"/>
  <c r="I28" i="5"/>
  <c r="K28" i="5" s="1"/>
  <c r="I27" i="5"/>
  <c r="K27" i="5" s="1"/>
  <c r="I26" i="5"/>
  <c r="K26" i="5" s="1"/>
  <c r="I25" i="5"/>
  <c r="K25" i="5" s="1"/>
  <c r="I24" i="5"/>
  <c r="K24" i="5" s="1"/>
  <c r="I23" i="5"/>
  <c r="I22" i="5"/>
  <c r="I20" i="5"/>
  <c r="I19" i="5"/>
  <c r="K19" i="5" s="1"/>
  <c r="I18" i="5"/>
  <c r="I17" i="5"/>
  <c r="K17" i="5" s="1"/>
  <c r="I16" i="5"/>
  <c r="AX7" i="5"/>
  <c r="AV7" i="5"/>
  <c r="AT7" i="5"/>
  <c r="AR7" i="5"/>
  <c r="AP7" i="5"/>
  <c r="AN7" i="5"/>
  <c r="AL7" i="5"/>
  <c r="AJ7" i="5"/>
  <c r="AH7" i="5"/>
  <c r="AF7" i="5"/>
  <c r="AD7" i="5"/>
  <c r="AB7" i="5"/>
  <c r="Z7" i="5"/>
  <c r="X7" i="5"/>
  <c r="V7" i="5"/>
  <c r="T7" i="5"/>
  <c r="J21" i="5"/>
  <c r="R7" i="5"/>
  <c r="P7" i="5"/>
  <c r="N7" i="5"/>
  <c r="L7" i="5"/>
  <c r="J7" i="5"/>
  <c r="H7" i="5"/>
  <c r="E3" i="5"/>
  <c r="F3" i="5" s="1"/>
  <c r="D9" i="5" s="1"/>
  <c r="D3" i="5"/>
  <c r="D2" i="5"/>
  <c r="C19" i="9" l="1"/>
  <c r="I21" i="5"/>
  <c r="K21" i="5" s="1"/>
  <c r="D8" i="5"/>
  <c r="D36" i="5"/>
  <c r="D32" i="5"/>
  <c r="D28" i="5"/>
  <c r="D24" i="5"/>
  <c r="D20" i="5"/>
  <c r="D16" i="5"/>
  <c r="D12" i="5"/>
  <c r="D7" i="5"/>
  <c r="D35" i="5"/>
  <c r="D31" i="5"/>
  <c r="D27" i="5"/>
  <c r="D23" i="5"/>
  <c r="D19" i="5"/>
  <c r="D15" i="5"/>
  <c r="D11" i="5"/>
  <c r="D34" i="5"/>
  <c r="D30" i="5"/>
  <c r="D26" i="5"/>
  <c r="D22" i="5"/>
  <c r="D18" i="5"/>
  <c r="D14" i="5"/>
  <c r="D10" i="5"/>
  <c r="D37" i="5"/>
  <c r="D33" i="5"/>
  <c r="D29" i="5"/>
  <c r="D25" i="5"/>
  <c r="D21" i="5"/>
  <c r="D17" i="5"/>
  <c r="D13" i="5"/>
  <c r="C20" i="9" l="1"/>
  <c r="E8" i="3"/>
  <c r="C8" i="3"/>
  <c r="I16" i="2"/>
  <c r="I18" i="2"/>
  <c r="C21" i="9" l="1"/>
  <c r="C22" i="9" s="1"/>
  <c r="C12" i="3"/>
  <c r="D12" i="3"/>
  <c r="C23" i="9" l="1"/>
  <c r="C24" i="9" l="1"/>
  <c r="C25" i="9" l="1"/>
  <c r="C26" i="9" l="1"/>
  <c r="C27" i="9" l="1"/>
  <c r="C28" i="9" l="1"/>
  <c r="C29" i="9" l="1"/>
  <c r="C30" i="9" s="1"/>
</calcChain>
</file>

<file path=xl/sharedStrings.xml><?xml version="1.0" encoding="utf-8"?>
<sst xmlns="http://schemas.openxmlformats.org/spreadsheetml/2006/main" count="64" uniqueCount="21">
  <si>
    <t>n</t>
    <phoneticPr fontId="1"/>
  </si>
  <si>
    <t>F_n</t>
    <phoneticPr fontId="1"/>
  </si>
  <si>
    <t>フィボナッチ数 F_n</t>
    <rPh sb="6" eb="7">
      <t>スウ</t>
    </rPh>
    <phoneticPr fontId="1"/>
  </si>
  <si>
    <t>比　F_{n+1}/F_n</t>
    <rPh sb="0" eb="1">
      <t>ヒ</t>
    </rPh>
    <phoneticPr fontId="1"/>
  </si>
  <si>
    <t>黄金比</t>
    <rPh sb="0" eb="3">
      <t>オウゴンヒ</t>
    </rPh>
    <phoneticPr fontId="1"/>
  </si>
  <si>
    <t>x</t>
    <phoneticPr fontId="1"/>
  </si>
  <si>
    <t>y</t>
    <phoneticPr fontId="1"/>
  </si>
  <si>
    <t>F_{n+1}/F_n</t>
    <phoneticPr fontId="1"/>
  </si>
  <si>
    <t>標準偏差</t>
    <rPh sb="0" eb="2">
      <t>ヒョウジュン</t>
    </rPh>
    <rPh sb="2" eb="4">
      <t>ヘンサ</t>
    </rPh>
    <phoneticPr fontId="1"/>
  </si>
  <si>
    <t>φ</t>
    <phoneticPr fontId="1"/>
  </si>
  <si>
    <t>黄金角</t>
    <rPh sb="0" eb="2">
      <t>オウゴン</t>
    </rPh>
    <rPh sb="2" eb="3">
      <t>カク</t>
    </rPh>
    <phoneticPr fontId="1"/>
  </si>
  <si>
    <t>平均値</t>
    <rPh sb="0" eb="2">
      <t>ヘイキン</t>
    </rPh>
    <rPh sb="2" eb="3">
      <t>チ</t>
    </rPh>
    <phoneticPr fontId="1"/>
  </si>
  <si>
    <t>変動係数</t>
    <rPh sb="0" eb="2">
      <t>ヘンドウ</t>
    </rPh>
    <rPh sb="2" eb="4">
      <t>ケイスウ</t>
    </rPh>
    <phoneticPr fontId="1"/>
  </si>
  <si>
    <t>c</t>
    <phoneticPr fontId="1"/>
  </si>
  <si>
    <t>成長率</t>
    <rPh sb="0" eb="2">
      <t>セイチョウ</t>
    </rPh>
    <rPh sb="2" eb="3">
      <t>リツ</t>
    </rPh>
    <phoneticPr fontId="1"/>
  </si>
  <si>
    <t>n</t>
    <phoneticPr fontId="1"/>
  </si>
  <si>
    <t>度数表示</t>
    <rPh sb="0" eb="1">
      <t>ド</t>
    </rPh>
    <rPh sb="1" eb="2">
      <t>スウ</t>
    </rPh>
    <rPh sb="2" eb="4">
      <t>ヒョウジ</t>
    </rPh>
    <phoneticPr fontId="1"/>
  </si>
  <si>
    <t>度数表示</t>
    <rPh sb="0" eb="2">
      <t>ドスウ</t>
    </rPh>
    <rPh sb="2" eb="4">
      <t>ヒョウジ</t>
    </rPh>
    <phoneticPr fontId="1"/>
  </si>
  <si>
    <t>角度</t>
    <rPh sb="0" eb="2">
      <t>カクド</t>
    </rPh>
    <phoneticPr fontId="1"/>
  </si>
  <si>
    <t>開度</t>
  </si>
  <si>
    <t>開度</t>
    <rPh sb="0" eb="2">
      <t>カイド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</si>
</sst>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0" fillId="3" borderId="9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'演習問題３（葉のつき方）'!$D$7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7-4460-90A3-A69A03EEDCD2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57-4460-90A3-A69A03EEDCD2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7-4460-90A3-A69A03EEDCD2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57-4460-90A3-A69A03EEDCD2}"/>
              </c:ext>
            </c:extLst>
          </c:dPt>
          <c:xVal>
            <c:numRef>
              <c:f>'演習問題３（葉のつき方）'!$C$8:$C$112</c:f>
              <c:numCache>
                <c:formatCode>General</c:formatCode>
                <c:ptCount val="10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-1</c:v>
                </c:pt>
                <c:pt idx="103">
                  <c:v>-1</c:v>
                </c:pt>
                <c:pt idx="104">
                  <c:v>1</c:v>
                </c:pt>
              </c:numCache>
            </c:numRef>
          </c:xVal>
          <c:yVal>
            <c:numRef>
              <c:f>'演習問題３（葉のつき方）'!$D$8:$D$112</c:f>
              <c:numCache>
                <c:formatCode>General</c:formatCode>
                <c:ptCount val="105"/>
                <c:pt idx="0">
                  <c:v>0</c:v>
                </c:pt>
                <c:pt idx="1">
                  <c:v>-2.45029690981724E-16</c:v>
                </c:pt>
                <c:pt idx="2">
                  <c:v>-4.90059381963448E-16</c:v>
                </c:pt>
                <c:pt idx="3">
                  <c:v>-7.3508907294517201E-16</c:v>
                </c:pt>
                <c:pt idx="4">
                  <c:v>-9.8011876392689601E-16</c:v>
                </c:pt>
                <c:pt idx="5">
                  <c:v>-1.22514845490862E-15</c:v>
                </c:pt>
                <c:pt idx="6">
                  <c:v>-1.470178145890344E-15</c:v>
                </c:pt>
                <c:pt idx="7">
                  <c:v>-1.715207836872068E-15</c:v>
                </c:pt>
                <c:pt idx="8">
                  <c:v>-1.960237527853792E-15</c:v>
                </c:pt>
                <c:pt idx="9">
                  <c:v>-2.205267218835516E-15</c:v>
                </c:pt>
                <c:pt idx="10">
                  <c:v>-2.45029690981724E-15</c:v>
                </c:pt>
                <c:pt idx="11">
                  <c:v>-9.8007539583999659E-15</c:v>
                </c:pt>
                <c:pt idx="12">
                  <c:v>-2.940356291780688E-15</c:v>
                </c:pt>
                <c:pt idx="13">
                  <c:v>3.9200413748385898E-15</c:v>
                </c:pt>
                <c:pt idx="14">
                  <c:v>-3.430415673744136E-15</c:v>
                </c:pt>
                <c:pt idx="15">
                  <c:v>-1.0780872722326862E-14</c:v>
                </c:pt>
                <c:pt idx="16">
                  <c:v>-3.920475055707584E-15</c:v>
                </c:pt>
                <c:pt idx="17">
                  <c:v>2.9399226109116938E-15</c:v>
                </c:pt>
                <c:pt idx="18">
                  <c:v>-4.410534437671032E-15</c:v>
                </c:pt>
                <c:pt idx="19">
                  <c:v>-1.1760991486253758E-14</c:v>
                </c:pt>
                <c:pt idx="20">
                  <c:v>-4.90059381963448E-15</c:v>
                </c:pt>
                <c:pt idx="21">
                  <c:v>1.9598038469847978E-15</c:v>
                </c:pt>
                <c:pt idx="22">
                  <c:v>-1.9601507916799932E-14</c:v>
                </c:pt>
                <c:pt idx="23">
                  <c:v>-1.2741110250180654E-14</c:v>
                </c:pt>
                <c:pt idx="24">
                  <c:v>-5.8807125835613761E-15</c:v>
                </c:pt>
                <c:pt idx="25">
                  <c:v>9.7968508305790181E-16</c:v>
                </c:pt>
                <c:pt idx="26">
                  <c:v>7.8400827496771797E-15</c:v>
                </c:pt>
                <c:pt idx="27">
                  <c:v>-1.372122901410755E-14</c:v>
                </c:pt>
                <c:pt idx="28">
                  <c:v>-6.8608313474882721E-15</c:v>
                </c:pt>
                <c:pt idx="29">
                  <c:v>-4.3368086899420177E-19</c:v>
                </c:pt>
                <c:pt idx="30">
                  <c:v>-2.1561745444653724E-14</c:v>
                </c:pt>
                <c:pt idx="31">
                  <c:v>-1.4701347778034446E-14</c:v>
                </c:pt>
                <c:pt idx="32">
                  <c:v>-7.8409501114151681E-15</c:v>
                </c:pt>
                <c:pt idx="33">
                  <c:v>-9.8055244479589021E-16</c:v>
                </c:pt>
                <c:pt idx="34">
                  <c:v>5.8798452218233876E-15</c:v>
                </c:pt>
                <c:pt idx="35">
                  <c:v>-1.5681466541961342E-14</c:v>
                </c:pt>
                <c:pt idx="36">
                  <c:v>-8.8210688753420641E-15</c:v>
                </c:pt>
                <c:pt idx="37">
                  <c:v>-1.9606712087227862E-15</c:v>
                </c:pt>
                <c:pt idx="38">
                  <c:v>-2.3521982972507516E-14</c:v>
                </c:pt>
                <c:pt idx="39">
                  <c:v>-1.6661585305888238E-14</c:v>
                </c:pt>
                <c:pt idx="40">
                  <c:v>-9.8011876392689601E-15</c:v>
                </c:pt>
                <c:pt idx="41">
                  <c:v>-3.136249940305369E-14</c:v>
                </c:pt>
                <c:pt idx="42">
                  <c:v>3.9196076939695956E-15</c:v>
                </c:pt>
                <c:pt idx="43">
                  <c:v>-1.7641704069815134E-14</c:v>
                </c:pt>
                <c:pt idx="44">
                  <c:v>-3.9203015833599864E-14</c:v>
                </c:pt>
                <c:pt idx="45">
                  <c:v>-3.9209087365765782E-15</c:v>
                </c:pt>
                <c:pt idx="46">
                  <c:v>-2.5482220500361308E-14</c:v>
                </c:pt>
                <c:pt idx="47">
                  <c:v>9.7998865966619775E-15</c:v>
                </c:pt>
                <c:pt idx="48">
                  <c:v>-1.1761425167122752E-14</c:v>
                </c:pt>
                <c:pt idx="49">
                  <c:v>-3.3322736930907482E-14</c:v>
                </c:pt>
                <c:pt idx="50">
                  <c:v>1.9593701661158036E-15</c:v>
                </c:pt>
                <c:pt idx="51">
                  <c:v>-1.9601941597668926E-14</c:v>
                </c:pt>
                <c:pt idx="52">
                  <c:v>1.5680165499354359E-14</c:v>
                </c:pt>
                <c:pt idx="53">
                  <c:v>-5.8811462644303703E-15</c:v>
                </c:pt>
                <c:pt idx="54">
                  <c:v>-2.74424580282151E-14</c:v>
                </c:pt>
                <c:pt idx="55">
                  <c:v>7.8396490688081855E-15</c:v>
                </c:pt>
                <c:pt idx="56">
                  <c:v>-1.3721662694976544E-14</c:v>
                </c:pt>
                <c:pt idx="57">
                  <c:v>-3.5282974458761274E-14</c:v>
                </c:pt>
                <c:pt idx="58">
                  <c:v>-8.6736173798840355E-19</c:v>
                </c:pt>
                <c:pt idx="59">
                  <c:v>-2.1562179125522718E-14</c:v>
                </c:pt>
                <c:pt idx="60">
                  <c:v>-4.3123490889307448E-14</c:v>
                </c:pt>
                <c:pt idx="61">
                  <c:v>-7.8413837922841623E-15</c:v>
                </c:pt>
                <c:pt idx="62">
                  <c:v>-2.9402695556068892E-14</c:v>
                </c:pt>
                <c:pt idx="63">
                  <c:v>5.8794115409543934E-15</c:v>
                </c:pt>
                <c:pt idx="64">
                  <c:v>-1.5681900222830336E-14</c:v>
                </c:pt>
                <c:pt idx="65">
                  <c:v>-3.7243211986615066E-14</c:v>
                </c:pt>
                <c:pt idx="66">
                  <c:v>-1.9611048895917804E-15</c:v>
                </c:pt>
                <c:pt idx="67">
                  <c:v>-2.352241665337651E-14</c:v>
                </c:pt>
                <c:pt idx="68">
                  <c:v>1.1759690443646775E-14</c:v>
                </c:pt>
                <c:pt idx="69">
                  <c:v>-9.8016213201379543E-15</c:v>
                </c:pt>
                <c:pt idx="70">
                  <c:v>-3.1362933083922684E-14</c:v>
                </c:pt>
                <c:pt idx="71">
                  <c:v>3.9191740131006014E-15</c:v>
                </c:pt>
                <c:pt idx="72">
                  <c:v>-1.7642137750684128E-14</c:v>
                </c:pt>
                <c:pt idx="73">
                  <c:v>-3.9203449514468858E-14</c:v>
                </c:pt>
                <c:pt idx="74">
                  <c:v>-3.9213424174455724E-15</c:v>
                </c:pt>
                <c:pt idx="75">
                  <c:v>-2.5482654181230302E-14</c:v>
                </c:pt>
                <c:pt idx="76">
                  <c:v>-4.7043965945015032E-14</c:v>
                </c:pt>
                <c:pt idx="77">
                  <c:v>-1.1761858847991746E-14</c:v>
                </c:pt>
                <c:pt idx="78">
                  <c:v>-3.3323170611776476E-14</c:v>
                </c:pt>
                <c:pt idx="79">
                  <c:v>1.9589364852468094E-15</c:v>
                </c:pt>
                <c:pt idx="80">
                  <c:v>-1.960237527853792E-14</c:v>
                </c:pt>
                <c:pt idx="81">
                  <c:v>-4.116368704232265E-14</c:v>
                </c:pt>
                <c:pt idx="82">
                  <c:v>-6.2724998806107379E-14</c:v>
                </c:pt>
                <c:pt idx="83">
                  <c:v>2.9400527151723921E-14</c:v>
                </c:pt>
                <c:pt idx="84">
                  <c:v>7.8392153879391913E-15</c:v>
                </c:pt>
                <c:pt idx="85">
                  <c:v>-1.3722096375845538E-14</c:v>
                </c:pt>
                <c:pt idx="86">
                  <c:v>-3.5283408139630268E-14</c:v>
                </c:pt>
                <c:pt idx="87">
                  <c:v>-5.6844719903414997E-14</c:v>
                </c:pt>
                <c:pt idx="88">
                  <c:v>-7.8406031667199727E-14</c:v>
                </c:pt>
                <c:pt idx="89">
                  <c:v>1.3719494290631573E-14</c:v>
                </c:pt>
                <c:pt idx="90">
                  <c:v>-7.8418174731531565E-15</c:v>
                </c:pt>
                <c:pt idx="91">
                  <c:v>-2.9403129236937886E-14</c:v>
                </c:pt>
                <c:pt idx="92">
                  <c:v>-5.0964441000722616E-14</c:v>
                </c:pt>
                <c:pt idx="93">
                  <c:v>-7.2525752764507345E-14</c:v>
                </c:pt>
                <c:pt idx="94">
                  <c:v>1.9599773193323955E-14</c:v>
                </c:pt>
                <c:pt idx="95">
                  <c:v>-1.9615385704607746E-15</c:v>
                </c:pt>
                <c:pt idx="96">
                  <c:v>-2.3522850334245504E-14</c:v>
                </c:pt>
                <c:pt idx="97">
                  <c:v>-4.5084162098030234E-14</c:v>
                </c:pt>
                <c:pt idx="98">
                  <c:v>-6.6645473861814963E-14</c:v>
                </c:pt>
                <c:pt idx="99">
                  <c:v>2.5480052096016337E-14</c:v>
                </c:pt>
                <c:pt idx="100">
                  <c:v>3.9187403322316072E-15</c:v>
                </c:pt>
                <c:pt idx="101">
                  <c:v>1</c:v>
                </c:pt>
                <c:pt idx="102">
                  <c:v>1</c:v>
                </c:pt>
                <c:pt idx="103">
                  <c:v>-1</c:v>
                </c:pt>
                <c:pt idx="10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7-4460-90A3-A69A03EED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707144"/>
        <c:axId val="982707472"/>
      </c:scatterChart>
      <c:valAx>
        <c:axId val="982707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2707472"/>
        <c:crosses val="autoZero"/>
        <c:crossBetween val="midCat"/>
      </c:valAx>
      <c:valAx>
        <c:axId val="982707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2707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'【解答】演習問題４（ひまわりシミュレーション）'!$D$11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71C2-4F5A-8B51-64E284E237AE}"/>
              </c:ext>
            </c:extLst>
          </c:dPt>
          <c:dPt>
            <c:idx val="100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71C2-4F5A-8B51-64E284E237AE}"/>
              </c:ext>
            </c:extLst>
          </c:dPt>
          <c:dPt>
            <c:idx val="10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71C2-4F5A-8B51-64E284E237AE}"/>
              </c:ext>
            </c:extLst>
          </c:dPt>
          <c:dPt>
            <c:idx val="100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71C2-4F5A-8B51-64E284E237AE}"/>
              </c:ext>
            </c:extLst>
          </c:dPt>
          <c:xVal>
            <c:numRef>
              <c:f>'【解答】演習問題４（ひまわりシミュレーション）'!$C$12:$C$1016</c:f>
              <c:numCache>
                <c:formatCode>General</c:formatCode>
                <c:ptCount val="1005"/>
                <c:pt idx="0">
                  <c:v>0</c:v>
                </c:pt>
                <c:pt idx="1">
                  <c:v>-0.73735552334087584</c:v>
                </c:pt>
                <c:pt idx="2">
                  <c:v>0.12358294097527481</c:v>
                </c:pt>
                <c:pt idx="3">
                  <c:v>1.0539285445432787</c:v>
                </c:pt>
                <c:pt idx="4">
                  <c:v>-1.9694545133998036</c:v>
                </c:pt>
                <c:pt idx="5">
                  <c:v>1.8865755491669742</c:v>
                </c:pt>
                <c:pt idx="6">
                  <c:v>-0.63561747771129995</c:v>
                </c:pt>
                <c:pt idx="7">
                  <c:v>-1.2197702921609488</c:v>
                </c:pt>
                <c:pt idx="8">
                  <c:v>2.656955258155286</c:v>
                </c:pt>
                <c:pt idx="9">
                  <c:v>-2.7728329512312522</c:v>
                </c:pt>
                <c:pt idx="10">
                  <c:v>1.3397524399021596</c:v>
                </c:pt>
                <c:pt idx="11">
                  <c:v>0.99330047494844265</c:v>
                </c:pt>
                <c:pt idx="12">
                  <c:v>-2.9975915379430251</c:v>
                </c:pt>
                <c:pt idx="13">
                  <c:v>3.5212554902848647</c:v>
                </c:pt>
                <c:pt idx="14">
                  <c:v>-2.1510899864580915</c:v>
                </c:pt>
                <c:pt idx="15">
                  <c:v>-0.49885876202730806</c:v>
                </c:pt>
                <c:pt idx="16">
                  <c:v>3.0594112438390226</c:v>
                </c:pt>
                <c:pt idx="17">
                  <c:v>-4.1195272272358787</c:v>
                </c:pt>
                <c:pt idx="18">
                  <c:v>3.006243338130854</c:v>
                </c:pt>
                <c:pt idx="19">
                  <c:v>-0.19970822681545161</c:v>
                </c:pt>
                <c:pt idx="20">
                  <c:v>-2.8666958536384768</c:v>
                </c:pt>
                <c:pt idx="21">
                  <c:v>4.5419039132678956</c:v>
                </c:pt>
                <c:pt idx="22">
                  <c:v>-3.849001365829543</c:v>
                </c:pt>
                <c:pt idx="23">
                  <c:v>1.0504679971672488</c:v>
                </c:pt>
                <c:pt idx="24">
                  <c:v>2.4376954728174218</c:v>
                </c:pt>
                <c:pt idx="25">
                  <c:v>-4.7642144118922465</c:v>
                </c:pt>
                <c:pt idx="26">
                  <c:v>4.6277447749594351</c:v>
                </c:pt>
                <c:pt idx="27">
                  <c:v>-2.0034732914302684</c:v>
                </c:pt>
                <c:pt idx="28">
                  <c:v>-1.7936771761099206</c:v>
                </c:pt>
                <c:pt idx="29">
                  <c:v>4.7683266276127583</c:v>
                </c:pt>
                <c:pt idx="30">
                  <c:v>-5.295483880435353</c:v>
                </c:pt>
                <c:pt idx="31">
                  <c:v>3.0083862973307935</c:v>
                </c:pt>
                <c:pt idx="32">
                  <c:v>0.96166321347287798</c:v>
                </c:pt>
                <c:pt idx="33">
                  <c:v>-4.5440782127867827</c:v>
                </c:pt>
                <c:pt idx="34">
                  <c:v>5.8107182008658711</c:v>
                </c:pt>
                <c:pt idx="35">
                  <c:v>-4.0144816062813726</c:v>
                </c:pt>
                <c:pt idx="36">
                  <c:v>2.4999338704093273E-2</c:v>
                </c:pt>
                <c:pt idx="37">
                  <c:v>4.0902123925022416</c:v>
                </c:pt>
                <c:pt idx="38">
                  <c:v>-6.1385342513244163</c:v>
                </c:pt>
                <c:pt idx="39">
                  <c:v>4.9715996018708433</c:v>
                </c:pt>
                <c:pt idx="40">
                  <c:v>-1.1270704689714564</c:v>
                </c:pt>
                <c:pt idx="41">
                  <c:v>-3.4147314960002313</c:v>
                </c:pt>
                <c:pt idx="42">
                  <c:v>6.2516873479271347</c:v>
                </c:pt>
                <c:pt idx="43">
                  <c:v>-5.8315159111663997</c:v>
                </c:pt>
                <c:pt idx="44">
                  <c:v>2.3004178978888365</c:v>
                </c:pt>
                <c:pt idx="45">
                  <c:v>2.5348055727488341</c:v>
                </c:pt>
                <c:pt idx="46">
                  <c:v>-6.1315312070007888</c:v>
                </c:pt>
                <c:pt idx="47">
                  <c:v>6.5494713152116883</c:v>
                </c:pt>
                <c:pt idx="48">
                  <c:v>-3.4973805360294294</c:v>
                </c:pt>
                <c:pt idx="49">
                  <c:v>-1.4762960069375863</c:v>
                </c:pt>
                <c:pt idx="50">
                  <c:v>5.7687122985129093</c:v>
                </c:pt>
                <c:pt idx="51">
                  <c:v>-7.0857112493896652</c:v>
                </c:pt>
                <c:pt idx="52">
                  <c:v>4.6683688896263584</c:v>
                </c:pt>
                <c:pt idx="53">
                  <c:v>0.27293371294894619</c:v>
                </c:pt>
                <c:pt idx="54">
                  <c:v>-5.1635759643270056</c:v>
                </c:pt>
                <c:pt idx="55">
                  <c:v>7.4069306067274168</c:v>
                </c:pt>
                <c:pt idx="56">
                  <c:v>-5.7636074462708669</c:v>
                </c:pt>
                <c:pt idx="57">
                  <c:v>1.0348099969231772</c:v>
                </c:pt>
                <c:pt idx="58">
                  <c:v>4.3262522205440561</c:v>
                </c:pt>
                <c:pt idx="59">
                  <c:v>-7.4875446942811985</c:v>
                </c:pt>
                <c:pt idx="60">
                  <c:v>6.7349370560666442</c:v>
                </c:pt>
                <c:pt idx="61">
                  <c:v>-2.4011168442144815</c:v>
                </c:pt>
                <c:pt idx="62">
                  <c:v>-3.276406114512171</c:v>
                </c:pt>
                <c:pt idx="63">
                  <c:v>7.3107241239869216</c:v>
                </c:pt>
                <c:pt idx="64">
                  <c:v>-7.5376019319265088</c:v>
                </c:pt>
                <c:pt idx="65">
                  <c:v>3.776429580401119</c:v>
                </c:pt>
                <c:pt idx="66">
                  <c:v>2.0426524825663588</c:v>
                </c:pt>
                <c:pt idx="67">
                  <c:v>-6.8691453385771224</c:v>
                </c:pt>
                <c:pt idx="68">
                  <c:v>8.1319507827852497</c:v>
                </c:pt>
                <c:pt idx="69">
                  <c:v>-5.1092183408390532</c:v>
                </c:pt>
                <c:pt idx="70">
                  <c:v>-0.66164864529818168</c:v>
                </c:pt>
                <c:pt idx="71">
                  <c:v>6.1654214784810462</c:v>
                </c:pt>
                <c:pt idx="72">
                  <c:v>-8.4849867619997621</c:v>
                </c:pt>
                <c:pt idx="73">
                  <c:v>6.3478438940062025</c:v>
                </c:pt>
                <c:pt idx="74">
                  <c:v>-0.8231088824334345</c:v>
                </c:pt>
                <c:pt idx="75">
                  <c:v>-5.2121911742325731</c:v>
                </c:pt>
                <c:pt idx="76">
                  <c:v>8.5717072116878228</c:v>
                </c:pt>
                <c:pt idx="77">
                  <c:v>-7.4424528099934797</c:v>
                </c:pt>
                <c:pt idx="78">
                  <c:v>2.36274631085722</c:v>
                </c:pt>
                <c:pt idx="79">
                  <c:v>4.0318557865353108</c:v>
                </c:pt>
                <c:pt idx="80">
                  <c:v>-8.3761819168461411</c:v>
                </c:pt>
                <c:pt idx="81">
                  <c:v>8.3468380919010237</c:v>
                </c:pt>
                <c:pt idx="82">
                  <c:v>-3.9046859632707909</c:v>
                </c:pt>
                <c:pt idx="83">
                  <c:v>-2.655968505338445</c:v>
                </c:pt>
                <c:pt idx="84">
                  <c:v>7.8923277649891492</c:v>
                </c:pt>
                <c:pt idx="85">
                  <c:v>-9.0201995082252235</c:v>
                </c:pt>
                <c:pt idx="86">
                  <c:v>5.3944758794041245</c:v>
                </c:pt>
                <c:pt idx="87">
                  <c:v>1.1242913065411848</c:v>
                </c:pt>
                <c:pt idx="88">
                  <c:v>-7.1243481817491077</c:v>
                </c:pt>
                <c:pt idx="89">
                  <c:v>9.4287407635935523</c:v>
                </c:pt>
                <c:pt idx="90">
                  <c:v>-6.7777142240805155</c:v>
                </c:pt>
                <c:pt idx="91">
                  <c:v>0.5164522722165279</c:v>
                </c:pt>
                <c:pt idx="92">
                  <c:v>6.0868172167743664</c:v>
                </c:pt>
                <c:pt idx="93">
                  <c:v>-9.5470456860732096</c:v>
                </c:pt>
                <c:pt idx="94">
                  <c:v>8.0020030527007577</c:v>
                </c:pt>
                <c:pt idx="95">
                  <c:v>-2.2140895824738012</c:v>
                </c:pt>
                <c:pt idx="96">
                  <c:v>-4.8044003535328121</c:v>
                </c:pt>
                <c:pt idx="97">
                  <c:v>9.3591826466269321</c:v>
                </c:pt>
                <c:pt idx="98">
                  <c:v>-9.0188641916876904</c:v>
                </c:pt>
                <c:pt idx="99">
                  <c:v>3.9127279050393922</c:v>
                </c:pt>
                <c:pt idx="100">
                  <c:v>3.3112166332056376</c:v>
                </c:pt>
                <c:pt idx="101">
                  <c:v>-8.8594952420507536</c:v>
                </c:pt>
                <c:pt idx="102">
                  <c:v>9.7855505039177615</c:v>
                </c:pt>
                <c:pt idx="103">
                  <c:v>-5.5546433792707335</c:v>
                </c:pt>
                <c:pt idx="104">
                  <c:v>-1.649859114739872</c:v>
                </c:pt>
                <c:pt idx="105">
                  <c:v>8.0530475854109458</c:v>
                </c:pt>
                <c:pt idx="106">
                  <c:v>-10.266688615060369</c:v>
                </c:pt>
                <c:pt idx="107">
                  <c:v>7.0822669474902558</c:v>
                </c:pt>
                <c:pt idx="108">
                  <c:v>-0.12989736757900883</c:v>
                </c:pt>
                <c:pt idx="109">
                  <c:v>-6.9557040228796811</c:v>
                </c:pt>
                <c:pt idx="110">
                  <c:v>10.435694191792804</c:v>
                </c:pt>
                <c:pt idx="111">
                  <c:v>-8.4402003662093907</c:v>
                </c:pt>
                <c:pt idx="112">
                  <c:v>1.9726611389673308</c:v>
                </c:pt>
                <c:pt idx="113">
                  <c:v>5.5938353565861174</c:v>
                </c:pt>
                <c:pt idx="114">
                  <c:v>-10.275907930167868</c:v>
                </c:pt>
                <c:pt idx="115">
                  <c:v>9.5771935069611782</c:v>
                </c:pt>
                <c:pt idx="116">
                  <c:v>-3.8192115162802573</c:v>
                </c:pt>
                <c:pt idx="117">
                  <c:v>-4.0036562942497032</c:v>
                </c:pt>
                <c:pt idx="118">
                  <c:v>9.7814093068996879</c:v>
                </c:pt>
                <c:pt idx="119">
                  <c:v>-10.448014660191697</c:v>
                </c:pt>
                <c:pt idx="120">
                  <c:v>5.6084515558900518</c:v>
                </c:pt>
                <c:pt idx="121">
                  <c:v>2.2302114471027248</c:v>
                </c:pt>
                <c:pt idx="122">
                  <c:v>-8.9574755816277527</c:v>
                </c:pt>
                <c:pt idx="123">
                  <c:v>11.015148364190001</c:v>
                </c:pt>
                <c:pt idx="124">
                  <c:v>-7.2794614326985423</c:v>
                </c:pt>
                <c:pt idx="125">
                  <c:v>-0.32603933538427143</c:v>
                </c:pt>
                <c:pt idx="126">
                  <c:v>7.8206651753210634</c:v>
                </c:pt>
                <c:pt idx="127">
                  <c:v>-11.25026032981232</c:v>
                </c:pt>
                <c:pt idx="128">
                  <c:v>8.773583970776361</c:v>
                </c:pt>
                <c:pt idx="129">
                  <c:v>-1.6504448743548832</c:v>
                </c:pt>
                <c:pt idx="130">
                  <c:v>-6.3985170080948155</c:v>
                </c:pt>
                <c:pt idx="131">
                  <c:v>11.135376168554073</c:v>
                </c:pt>
                <c:pt idx="132">
                  <c:v>-10.036471915869342</c:v>
                </c:pt>
                <c:pt idx="133">
                  <c:v>3.6367971676738167</c:v>
                </c:pt>
                <c:pt idx="134">
                  <c:v>4.7288702484041236</c:v>
                </c:pt>
                <c:pt idx="135">
                  <c:v>-10.663729634243785</c:v>
                </c:pt>
                <c:pt idx="136">
                  <c:v>11.020026957191702</c:v>
                </c:pt>
                <c:pt idx="137">
                  <c:v>-5.5685638770897894</c:v>
                </c:pt>
                <c:pt idx="138">
                  <c:v>-2.8588217780957828</c:v>
                </c:pt>
                <c:pt idx="139">
                  <c:v>9.8402466718262964</c:v>
                </c:pt>
                <c:pt idx="140">
                  <c:v>-11.684163276130421</c:v>
                </c:pt>
                <c:pt idx="141">
                  <c:v>7.3814066229011654</c:v>
                </c:pt>
                <c:pt idx="142">
                  <c:v>0.84335108508537526</c:v>
                </c:pt>
                <c:pt idx="143">
                  <c:v>-8.6816433907314128</c:v>
                </c:pt>
                <c:pt idx="144">
                  <c:v>11.998333450437078</c:v>
                </c:pt>
                <c:pt idx="145">
                  <c:v>-9.0132629673462894</c:v>
                </c:pt>
                <c:pt idx="146">
                  <c:v>1.2563461600544863</c:v>
                </c:pt>
                <c:pt idx="147">
                  <c:v>7.2161287620480579</c:v>
                </c:pt>
                <c:pt idx="148">
                  <c:v>-11.942761726020692</c:v>
                </c:pt>
                <c:pt idx="149">
                  <c:v>10.406470661067541</c:v>
                </c:pt>
                <c:pt idx="150">
                  <c:v>-3.3747642973222196</c:v>
                </c:pt>
                <c:pt idx="151">
                  <c:v>-5.4827159637855409</c:v>
                </c:pt>
                <c:pt idx="152">
                  <c:v>11.50933876466296</c:v>
                </c:pt>
                <c:pt idx="153">
                  <c:v>-11.509783656159666</c:v>
                </c:pt>
                <c:pt idx="154">
                  <c:v>5.4441734120659824</c:v>
                </c:pt>
                <c:pt idx="155">
                  <c:v>3.5301594348818743</c:v>
                </c:pt>
                <c:pt idx="156">
                  <c:v>-10.702142700158074</c:v>
                </c:pt>
                <c:pt idx="157">
                  <c:v>12.28021075118923</c:v>
                </c:pt>
                <c:pt idx="158">
                  <c:v>-7.3968176117916622</c:v>
                </c:pt>
                <c:pt idx="159">
                  <c:v>-1.4155474104842614</c:v>
                </c:pt>
                <c:pt idx="160">
                  <c:v>9.5375633468233652</c:v>
                </c:pt>
                <c:pt idx="161">
                  <c:v>-12.684612753289757</c:v>
                </c:pt>
                <c:pt idx="162">
                  <c:v>9.1671542273092719</c:v>
                </c:pt>
                <c:pt idx="163">
                  <c:v>-0.79740842665704159</c:v>
                </c:pt>
                <c:pt idx="164">
                  <c:v>-8.0440193172204211</c:v>
                </c:pt>
                <c:pt idx="165">
                  <c:v>12.701001246397212</c:v>
                </c:pt>
                <c:pt idx="166">
                  <c:v>-10.694060028335624</c:v>
                </c:pt>
                <c:pt idx="167">
                  <c:v>3.0403339317251445</c:v>
                </c:pt>
                <c:pt idx="168">
                  <c:v>6.2612712016091132</c:v>
                </c:pt>
                <c:pt idx="169">
                  <c:v>-12.319491225375463</c:v>
                </c:pt>
                <c:pt idx="170">
                  <c:v>11.922930675436969</c:v>
                </c:pt>
                <c:pt idx="171">
                  <c:v>-5.2423428739157165</c:v>
                </c:pt>
                <c:pt idx="172">
                  <c:v>-4.2393474021951647</c:v>
                </c:pt>
                <c:pt idx="173">
                  <c:v>11.542870709040232</c:v>
                </c:pt>
                <c:pt idx="174">
                  <c:v>-12.807602204622452</c:v>
                </c:pt>
                <c:pt idx="175">
                  <c:v>7.3323083823019477</c:v>
                </c:pt>
                <c:pt idx="176">
                  <c:v>2.0371122577503948</c:v>
                </c:pt>
                <c:pt idx="177">
                  <c:v>-10.386762639241693</c:v>
                </c:pt>
                <c:pt idx="178">
                  <c:v>13.312028296811508</c:v>
                </c:pt>
                <c:pt idx="179">
                  <c:v>-9.2411822434904334</c:v>
                </c:pt>
                <c:pt idx="180">
                  <c:v>0.27948169517084837</c:v>
                </c:pt>
                <c:pt idx="181">
                  <c:v>8.879367519483262</c:v>
                </c:pt>
                <c:pt idx="182">
                  <c:v>-13.411654281616796</c:v>
                </c:pt>
                <c:pt idx="183">
                  <c:v>10.904286294945292</c:v>
                </c:pt>
                <c:pt idx="184">
                  <c:v>-2.6394045090252978</c:v>
                </c:pt>
                <c:pt idx="185">
                  <c:v>-7.0607889219666156</c:v>
                </c:pt>
                <c:pt idx="186">
                  <c:v>13.094438048683928</c:v>
                </c:pt>
                <c:pt idx="187">
                  <c:v>-12.263500085703948</c:v>
                </c:pt>
                <c:pt idx="188">
                  <c:v>4.9687604898986253</c:v>
                </c:pt>
                <c:pt idx="189">
                  <c:v>4.9819577521553713</c:v>
                </c:pt>
                <c:pt idx="190">
                  <c:v>-12.361479007195598</c:v>
                </c:pt>
                <c:pt idx="191">
                  <c:v>13.26927139662094</c:v>
                </c:pt>
                <c:pt idx="192">
                  <c:v>-7.1931311524136392</c:v>
                </c:pt>
                <c:pt idx="193">
                  <c:v>-2.703184554441997</c:v>
                </c:pt>
                <c:pt idx="194">
                  <c:v>11.227228602454309</c:v>
                </c:pt>
                <c:pt idx="195">
                  <c:v>-13.88238107032598</c:v>
                </c:pt>
                <c:pt idx="196">
                  <c:v>9.2399746594589871</c:v>
                </c:pt>
                <c:pt idx="197">
                  <c:v>0.29238172853343658</c:v>
                </c:pt>
                <c:pt idx="198">
                  <c:v>-9.7192692764370641</c:v>
                </c:pt>
                <c:pt idx="199">
                  <c:v>14.075400762180148</c:v>
                </c:pt>
                <c:pt idx="200">
                  <c:v>-11.041004116090908</c:v>
                </c:pt>
                <c:pt idx="201">
                  <c:v>2.1769911164218163</c:v>
                </c:pt>
                <c:pt idx="202">
                  <c:v>7.8776627190129682</c:v>
                </c:pt>
                <c:pt idx="203">
                  <c:v>-13.833791476084201</c:v>
                </c:pt>
                <c:pt idx="204">
                  <c:v>12.534466770216575</c:v>
                </c:pt>
                <c:pt idx="205">
                  <c:v>-4.6281956975160217</c:v>
                </c:pt>
                <c:pt idx="206">
                  <c:v>-5.7538823478012207</c:v>
                </c:pt>
                <c:pt idx="207">
                  <c:v>13.156601811723469</c:v>
                </c:pt>
                <c:pt idx="208">
                  <c:v>-13.667248400223709</c:v>
                </c:pt>
                <c:pt idx="209">
                  <c:v>6.9836267123160134</c:v>
                </c:pt>
                <c:pt idx="210">
                  <c:v>3.4093587184229261</c:v>
                </c:pt>
                <c:pt idx="211">
                  <c:v>-12.056737379788096</c:v>
                </c:pt>
                <c:pt idx="212">
                  <c:v>14.39673189432839</c:v>
                </c:pt>
                <c:pt idx="213">
                  <c:v>-9.1672902622115693</c:v>
                </c:pt>
                <c:pt idx="214">
                  <c:v>-0.91367955130410516</c:v>
                </c:pt>
                <c:pt idx="215">
                  <c:v>10.560786445077834</c:v>
                </c:pt>
                <c:pt idx="216">
                  <c:v>-14.692346119008148</c:v>
                </c:pt>
                <c:pt idx="217">
                  <c:v>11.107269541572581</c:v>
                </c:pt>
                <c:pt idx="218">
                  <c:v>-1.6575021647428283</c:v>
                </c:pt>
                <c:pt idx="219">
                  <c:v>-8.7084011020896472</c:v>
                </c:pt>
                <c:pt idx="220">
                  <c:v>14.536750427705414</c:v>
                </c:pt>
                <c:pt idx="221">
                  <c:v>-12.738097687542185</c:v>
                </c:pt>
                <c:pt idx="222">
                  <c:v>4.2247883635721708</c:v>
                </c:pt>
                <c:pt idx="223">
                  <c:v>6.5512477166672332</c:v>
                </c:pt>
                <c:pt idx="224">
                  <c:v>-13.926611296641507</c:v>
                </c:pt>
                <c:pt idx="225">
                  <c:v>14.002959680095676</c:v>
                </c:pt>
                <c:pt idx="226">
                  <c:v>-6.7075125425380584</c:v>
                </c:pt>
                <c:pt idx="227">
                  <c:v>-4.151554513811651</c:v>
                </c:pt>
                <c:pt idx="228">
                  <c:v>12.872940249462353</c:v>
                </c:pt>
                <c:pt idx="229">
                  <c:v>-14.855649735306155</c:v>
                </c:pt>
                <c:pt idx="230">
                  <c:v>9.0262950307658247</c:v>
                </c:pt>
                <c:pt idx="231">
                  <c:v>1.5802975934926433</c:v>
                </c:pt>
                <c:pt idx="232">
                  <c:v>-11.40097605074004</c:v>
                </c:pt>
                <c:pt idx="233">
                  <c:v>15.262217624555005</c:v>
                </c:pt>
                <c:pt idx="234">
                  <c:v>-11.10559554029234</c:v>
                </c:pt>
                <c:pt idx="235">
                  <c:v>1.0849211284054343</c:v>
                </c:pt>
                <c:pt idx="236">
                  <c:v>9.5496086737530863</c:v>
                </c:pt>
                <c:pt idx="237">
                  <c:v>-15.202246576643862</c:v>
                </c:pt>
                <c:pt idx="238">
                  <c:v>12.87618072699148</c:v>
                </c:pt>
                <c:pt idx="239">
                  <c:v>-3.7622399358239704</c:v>
                </c:pt>
                <c:pt idx="240">
                  <c:v>-7.3703573172312096</c:v>
                </c:pt>
                <c:pt idx="241">
                  <c:v>14.669716602545332</c:v>
                </c:pt>
                <c:pt idx="242">
                  <c:v>-14.277426210209162</c:v>
                </c:pt>
                <c:pt idx="243">
                  <c:v>6.3680744997401684</c:v>
                </c:pt>
                <c:pt idx="244">
                  <c:v>4.9259292836177773</c:v>
                </c:pt>
                <c:pt idx="245">
                  <c:v>-13.673419881814862</c:v>
                </c:pt>
                <c:pt idx="246">
                  <c:v>15.259376842935193</c:v>
                </c:pt>
                <c:pt idx="247">
                  <c:v>-8.819747038073416</c:v>
                </c:pt>
                <c:pt idx="248">
                  <c:v>-2.2884003658645478</c:v>
                </c:pt>
                <c:pt idx="249">
                  <c:v>12.236908868306044</c:v>
                </c:pt>
                <c:pt idx="250">
                  <c:v>-15.784495874650034</c:v>
                </c:pt>
                <c:pt idx="251">
                  <c:v>11.038124319439225</c:v>
                </c:pt>
                <c:pt idx="252">
                  <c:v>-0.46292993294246765</c:v>
                </c:pt>
                <c:pt idx="253">
                  <c:v>-10.397972570592428</c:v>
                </c:pt>
                <c:pt idx="254">
                  <c:v>15.829042810687451</c:v>
                </c:pt>
                <c:pt idx="255">
                  <c:v>-12.950180086998888</c:v>
                </c:pt>
                <c:pt idx="256">
                  <c:v>3.243943923065971</c:v>
                </c:pt>
                <c:pt idx="257">
                  <c:v>8.2076515701603814</c:v>
                </c:pt>
                <c:pt idx="258">
                  <c:v>-15.384030972779922</c:v>
                </c:pt>
                <c:pt idx="259">
                  <c:v>14.491398886619567</c:v>
                </c:pt>
                <c:pt idx="260">
                  <c:v>-5.9682984216669954</c:v>
                </c:pt>
                <c:pt idx="261">
                  <c:v>-5.7288172744123322</c:v>
                </c:pt>
                <c:pt idx="262">
                  <c:v>14.455728665276776</c:v>
                </c:pt>
                <c:pt idx="263">
                  <c:v>-15.607942376663139</c:v>
                </c:pt>
                <c:pt idx="264">
                  <c:v>8.5501241594857564</c:v>
                </c:pt>
                <c:pt idx="265">
                  <c:v>3.0343551795439967</c:v>
                </c:pt>
                <c:pt idx="266">
                  <c:v>-13.065682052088803</c:v>
                </c:pt>
                <c:pt idx="267">
                  <c:v>16.258505869420098</c:v>
                </c:pt>
                <c:pt idx="268">
                  <c:v>-10.906747068287237</c:v>
                </c:pt>
                <c:pt idx="269">
                  <c:v>-0.205005074951146</c:v>
                </c:pt>
                <c:pt idx="270">
                  <c:v>11.250252907300474</c:v>
                </c:pt>
                <c:pt idx="271">
                  <c:v>-16.415801918107395</c:v>
                </c:pt>
                <c:pt idx="272">
                  <c:v>12.961344915636515</c:v>
                </c:pt>
                <c:pt idx="273">
                  <c:v>-2.6730772778903025</c:v>
                </c:pt>
                <c:pt idx="274">
                  <c:v>-9.0596798425017937</c:v>
                </c:pt>
                <c:pt idx="275">
                  <c:v>16.067618950948059</c:v>
                </c:pt>
                <c:pt idx="276">
                  <c:v>-14.645453807683788</c:v>
                </c:pt>
                <c:pt idx="277">
                  <c:v>5.5109628006321847</c:v>
                </c:pt>
                <c:pt idx="278">
                  <c:v>6.5566869445206812</c:v>
                </c:pt>
                <c:pt idx="279">
                  <c:v>-15.21741592713748</c:v>
                </c:pt>
                <c:pt idx="280">
                  <c:v>15.901242883286132</c:v>
                </c:pt>
                <c:pt idx="281">
                  <c:v>-8.2197145091453052</c:v>
                </c:pt>
                <c:pt idx="282">
                  <c:v>-3.8146784861877414</c:v>
                </c:pt>
                <c:pt idx="283">
                  <c:v>13.884428350416144</c:v>
                </c:pt>
                <c:pt idx="284">
                  <c:v>-16.683481979169464</c:v>
                </c:pt>
                <c:pt idx="285">
                  <c:v>10.713189246095876</c:v>
                </c:pt>
                <c:pt idx="286">
                  <c:v>0.91557202169731988</c:v>
                </c:pt>
                <c:pt idx="287">
                  <c:v>-12.103276278042893</c:v>
                </c:pt>
                <c:pt idx="288">
                  <c:v>16.961135975136635</c:v>
                </c:pt>
                <c:pt idx="289">
                  <c:v>-12.910787155289981</c:v>
                </c:pt>
                <c:pt idx="290">
                  <c:v>2.052665699339927</c:v>
                </c:pt>
                <c:pt idx="291">
                  <c:v>9.9230807258593856</c:v>
                </c:pt>
                <c:pt idx="292">
                  <c:v>-16.718530669010612</c:v>
                </c:pt>
                <c:pt idx="293">
                  <c:v>14.740060978328076</c:v>
                </c:pt>
                <c:pt idx="294">
                  <c:v>-4.9987053723969854</c:v>
                </c:pt>
                <c:pt idx="295">
                  <c:v>-7.4061105943759467</c:v>
                </c:pt>
                <c:pt idx="296">
                  <c:v>15.956048048413022</c:v>
                </c:pt>
                <c:pt idx="297">
                  <c:v>-16.139100726467543</c:v>
                </c:pt>
                <c:pt idx="298">
                  <c:v>7.8306817871410548</c:v>
                </c:pt>
                <c:pt idx="299">
                  <c:v>4.6259974235698715</c:v>
                </c:pt>
                <c:pt idx="300">
                  <c:v>-14.690323322975548</c:v>
                </c:pt>
                <c:pt idx="301">
                  <c:v>17.058615480854421</c:v>
                </c:pt>
                <c:pt idx="302">
                  <c:v>-10.459072568643116</c:v>
                </c:pt>
                <c:pt idx="303">
                  <c:v>-1.6655694359303301</c:v>
                </c:pt>
                <c:pt idx="304">
                  <c:v>12.953931607762375</c:v>
                </c:pt>
                <c:pt idx="305">
                  <c:v>-17.463642831111724</c:v>
                </c:pt>
                <c:pt idx="306">
                  <c:v>12.799538467829127</c:v>
                </c:pt>
                <c:pt idx="307">
                  <c:v>-1.3856310138492554</c:v>
                </c:pt>
                <c:pt idx="308">
                  <c:v>-10.794568221245923</c:v>
                </c:pt>
                <c:pt idx="309">
                  <c:v>17.334827520770741</c:v>
                </c:pt>
                <c:pt idx="310">
                  <c:v>-14.775634886267854</c:v>
                </c:pt>
                <c:pt idx="311">
                  <c:v>4.4340717148404725</c:v>
                </c:pt>
                <c:pt idx="312">
                  <c:v>8.2737426720517551</c:v>
                </c:pt>
                <c:pt idx="313">
                  <c:v>-16.669223897810685</c:v>
                </c:pt>
                <c:pt idx="314">
                  <c:v>16.321307422224873</c:v>
                </c:pt>
                <c:pt idx="315">
                  <c:v>-7.3851132557094452</c:v>
                </c:pt>
                <c:pt idx="316">
                  <c:v>-5.4650220455514908</c:v>
                </c:pt>
                <c:pt idx="317">
                  <c:v>15.480591373437708</c:v>
                </c:pt>
                <c:pt idx="318">
                  <c:v>-17.383090129486352</c:v>
                </c:pt>
                <c:pt idx="319">
                  <c:v>10.14596079811122</c:v>
                </c:pt>
                <c:pt idx="320">
                  <c:v>2.4518741614753843</c:v>
                </c:pt>
                <c:pt idx="321">
                  <c:v>-13.799167822406556</c:v>
                </c:pt>
                <c:pt idx="322">
                  <c:v>17.921933725895567</c:v>
                </c:pt>
                <c:pt idx="323">
                  <c:v>-12.628592563166153</c:v>
                </c:pt>
                <c:pt idx="324">
                  <c:v>0.67482591717206242</c:v>
                </c:pt>
                <c:pt idx="325">
                  <c:v>11.670922224056616</c:v>
                </c:pt>
                <c:pt idx="326">
                  <c:v>-17.91460192821604</c:v>
                </c:pt>
                <c:pt idx="327">
                  <c:v>14.752572384268333</c:v>
                </c:pt>
                <c:pt idx="328">
                  <c:v>-3.8195511202170271</c:v>
                </c:pt>
                <c:pt idx="329">
                  <c:v>-9.1563043308212926</c:v>
                </c:pt>
                <c:pt idx="330">
                  <c:v>17.354587098499909</c:v>
                </c:pt>
                <c:pt idx="331">
                  <c:v>-16.447656371937061</c:v>
                </c:pt>
                <c:pt idx="332">
                  <c:v>6.8850553856058072</c:v>
                </c:pt>
                <c:pt idx="333">
                  <c:v>6.3285252377530901</c:v>
                </c:pt>
                <c:pt idx="334">
                  <c:v>-16.252511070820049</c:v>
                </c:pt>
                <c:pt idx="335">
                  <c:v>17.656109305038218</c:v>
                </c:pt>
                <c:pt idx="336">
                  <c:v>-9.7753939971376838</c:v>
                </c:pt>
                <c:pt idx="337">
                  <c:v>-3.2714178988646929</c:v>
                </c:pt>
                <c:pt idx="338">
                  <c:v>14.635992935612069</c:v>
                </c:pt>
                <c:pt idx="339">
                  <c:v>-18.334654657691832</c:v>
                </c:pt>
                <c:pt idx="340">
                  <c:v>12.398937096303889</c:v>
                </c:pt>
                <c:pt idx="341">
                  <c:v>7.6940403523417328E-2</c:v>
                </c:pt>
                <c:pt idx="342">
                  <c:v>-12.548982198872839</c:v>
                </c:pt>
                <c:pt idx="343">
                  <c:v>18.455992954135951</c:v>
                </c:pt>
                <c:pt idx="344">
                  <c:v>-14.671281471529806</c:v>
                </c:pt>
                <c:pt idx="345">
                  <c:v>3.1576032592608323</c:v>
                </c:pt>
                <c:pt idx="346">
                  <c:v>10.050572584276454</c:v>
                </c:pt>
                <c:pt idx="347">
                  <c:v>-18.009836096049355</c:v>
                </c:pt>
                <c:pt idx="348">
                  <c:v>16.517967972222465</c:v>
                </c:pt>
                <c:pt idx="349">
                  <c:v>-6.3325405543372915</c:v>
                </c:pt>
                <c:pt idx="350">
                  <c:v>-7.2133282766251083</c:v>
                </c:pt>
                <c:pt idx="351">
                  <c:v>17.003420037717849</c:v>
                </c:pt>
                <c:pt idx="352">
                  <c:v>-17.876917088578011</c:v>
                </c:pt>
                <c:pt idx="353">
                  <c:v>9.3489143844484968</c:v>
                </c:pt>
                <c:pt idx="354">
                  <c:v>4.121170088311926</c:v>
                </c:pt>
                <c:pt idx="355">
                  <c:v>-15.461474243953855</c:v>
                </c:pt>
                <c:pt idx="356">
                  <c:v>18.700503242554305</c:v>
                </c:pt>
                <c:pt idx="357">
                  <c:v>-12.111577946058953</c:v>
                </c:pt>
                <c:pt idx="358">
                  <c:v>-0.86688336363685314</c:v>
                </c:pt>
                <c:pt idx="359">
                  <c:v>13.425643257688293</c:v>
                </c:pt>
                <c:pt idx="360">
                  <c:v>-18.957198923360075</c:v>
                </c:pt>
                <c:pt idx="361">
                  <c:v>14.532203408242841</c:v>
                </c:pt>
                <c:pt idx="362">
                  <c:v>-2.4506780467477798</c:v>
                </c:pt>
                <c:pt idx="363">
                  <c:v>-10.95337290234548</c:v>
                </c:pt>
                <c:pt idx="364">
                  <c:v>18.632732660027447</c:v>
                </c:pt>
                <c:pt idx="365">
                  <c:v>-16.532109124741186</c:v>
                </c:pt>
                <c:pt idx="366">
                  <c:v>5.7296071186441857</c:v>
                </c:pt>
                <c:pt idx="367">
                  <c:v>8.1162906076659738</c:v>
                </c:pt>
                <c:pt idx="368">
                  <c:v>-17.730719568522293</c:v>
                </c:pt>
                <c:pt idx="369">
                  <c:v>18.044814868050164</c:v>
                </c:pt>
                <c:pt idx="370">
                  <c:v>-8.868085952993054</c:v>
                </c:pt>
                <c:pt idx="371">
                  <c:v>-4.9981255390926274</c:v>
                </c:pt>
                <c:pt idx="372">
                  <c:v>16.272739392056195</c:v>
                </c:pt>
                <c:pt idx="373">
                  <c:v>-19.018242249029814</c:v>
                </c:pt>
                <c:pt idx="374">
                  <c:v>11.767557817996137</c:v>
                </c:pt>
                <c:pt idx="375">
                  <c:v>1.6922291123629802</c:v>
                </c:pt>
                <c:pt idx="376">
                  <c:v>-14.297854073012843</c:v>
                </c:pt>
                <c:pt idx="377">
                  <c:v>19.416487838947599</c:v>
                </c:pt>
                <c:pt idx="378">
                  <c:v>-14.33582984793852</c:v>
                </c:pt>
                <c:pt idx="379">
                  <c:v>1.7012303945693061</c:v>
                </c:pt>
                <c:pt idx="380">
                  <c:v>11.861574421363347</c:v>
                </c:pt>
                <c:pt idx="381">
                  <c:v>-19.22110923967011</c:v>
                </c:pt>
                <c:pt idx="382">
                  <c:v>16.490008548437178</c:v>
                </c:pt>
                <c:pt idx="383">
                  <c:v>-5.0783144901290322</c:v>
                </c:pt>
                <c:pt idx="384">
                  <c:v>-9.0343028286961289</c:v>
                </c:pt>
                <c:pt idx="385">
                  <c:v>18.431879071588213</c:v>
                </c:pt>
                <c:pt idx="386">
                  <c:v>-18.159174583905536</c:v>
                </c:pt>
                <c:pt idx="387">
                  <c:v>8.3345093694116503</c:v>
                </c:pt>
                <c:pt idx="388">
                  <c:v>5.8992956698938732</c:v>
                </c:pt>
                <c:pt idx="389">
                  <c:v>-17.066978120593248</c:v>
                </c:pt>
                <c:pt idx="390">
                  <c:v>19.286710627681632</c:v>
                </c:pt>
                <c:pt idx="391">
                  <c:v>-11.367970539980059</c:v>
                </c:pt>
                <c:pt idx="392">
                  <c:v>-2.5502045050545221</c:v>
                </c:pt>
                <c:pt idx="393">
                  <c:v>15.162616206181717</c:v>
                </c:pt>
                <c:pt idx="394">
                  <c:v>-19.832206134763659</c:v>
                </c:pt>
                <c:pt idx="395">
                  <c:v>14.082716176192044</c:v>
                </c:pt>
                <c:pt idx="396">
                  <c:v>-0.91173105567975254</c:v>
                </c:pt>
                <c:pt idx="397">
                  <c:v>-12.772087166064997</c:v>
                </c:pt>
                <c:pt idx="398">
                  <c:v>19.772875457034715</c:v>
                </c:pt>
                <c:pt idx="399">
                  <c:v>-16.39166888468597</c:v>
                </c:pt>
                <c:pt idx="400">
                  <c:v>4.3807543783072775</c:v>
                </c:pt>
                <c:pt idx="401">
                  <c:v>9.9642821419220144</c:v>
                </c:pt>
                <c:pt idx="402">
                  <c:v>-19.104440387423104</c:v>
                </c:pt>
                <c:pt idx="403">
                  <c:v>18.219449398478904</c:v>
                </c:pt>
                <c:pt idx="404">
                  <c:v>-7.7498332424396423</c:v>
                </c:pt>
                <c:pt idx="405">
                  <c:v>-6.821702536481232</c:v>
                </c:pt>
                <c:pt idx="406">
                  <c:v>17.84144454875436</c:v>
                </c:pt>
                <c:pt idx="407">
                  <c:v>-19.504832613037159</c:v>
                </c:pt>
                <c:pt idx="408">
                  <c:v>10.913972031306646</c:v>
                </c:pt>
                <c:pt idx="409">
                  <c:v>3.4380300485989328</c:v>
                </c:pt>
                <c:pt idx="410">
                  <c:v>-16.016984535931542</c:v>
                </c:pt>
                <c:pt idx="411">
                  <c:v>20.202786143077489</c:v>
                </c:pt>
                <c:pt idx="412">
                  <c:v>-13.773491908823329</c:v>
                </c:pt>
                <c:pt idx="413">
                  <c:v>8.4674432791556425E-2</c:v>
                </c:pt>
                <c:pt idx="414">
                  <c:v>13.68186083649789</c:v>
                </c:pt>
                <c:pt idx="415">
                  <c:v>-20.28602393092612</c:v>
                </c:pt>
                <c:pt idx="416">
                  <c:v>16.237176306681924</c:v>
                </c:pt>
                <c:pt idx="417">
                  <c:v>-3.6390590477791611</c:v>
                </c:pt>
                <c:pt idx="418">
                  <c:v>-10.903169730797876</c:v>
                </c:pt>
                <c:pt idx="419">
                  <c:v>19.746022009096894</c:v>
                </c:pt>
                <c:pt idx="420">
                  <c:v>-18.225182351672821</c:v>
                </c:pt>
                <c:pt idx="421">
                  <c:v>7.1157625518997296</c:v>
                </c:pt>
                <c:pt idx="422">
                  <c:v>7.7623750389866863</c:v>
                </c:pt>
                <c:pt idx="423">
                  <c:v>-18.593459872057782</c:v>
                </c:pt>
                <c:pt idx="424">
                  <c:v>19.671625311020421</c:v>
                </c:pt>
                <c:pt idx="425">
                  <c:v>-10.406788660606573</c:v>
                </c:pt>
                <c:pt idx="426">
                  <c:v>-4.3529151795059358</c:v>
                </c:pt>
                <c:pt idx="427">
                  <c:v>16.858068546508267</c:v>
                </c:pt>
                <c:pt idx="428">
                  <c:v>-20.526752545544209</c:v>
                </c:pt>
                <c:pt idx="429">
                  <c:v>13.408868771811864</c:v>
                </c:pt>
                <c:pt idx="430">
                  <c:v>0.77741600303910718</c:v>
                </c:pt>
                <c:pt idx="431">
                  <c:v>-14.587884822854196</c:v>
                </c:pt>
                <c:pt idx="432">
                  <c:v>20.758635564533311</c:v>
                </c:pt>
                <c:pt idx="433">
                  <c:v>-16.026708151729359</c:v>
                </c:pt>
                <c:pt idx="434">
                  <c:v>2.8554072149689245</c:v>
                </c:pt>
                <c:pt idx="435">
                  <c:v>11.847929653234333</c:v>
                </c:pt>
                <c:pt idx="436">
                  <c:v>-20.354323215163987</c:v>
                </c:pt>
                <c:pt idx="437">
                  <c:v>18.176013412462478</c:v>
                </c:pt>
                <c:pt idx="438">
                  <c:v>-6.4340648238625011</c:v>
                </c:pt>
                <c:pt idx="439">
                  <c:v>-8.7183468532633182</c:v>
                </c:pt>
                <c:pt idx="440">
                  <c:v>19.320415378676611</c:v>
                </c:pt>
                <c:pt idx="441">
                  <c:v>-19.786205071311439</c:v>
                </c:pt>
                <c:pt idx="442">
                  <c:v>9.8477235214574428</c:v>
                </c:pt>
                <c:pt idx="443">
                  <c:v>5.2920553947632243</c:v>
                </c:pt>
                <c:pt idx="444">
                  <c:v>-17.68303428874599</c:v>
                </c:pt>
                <c:pt idx="445">
                  <c:v>20.802728000007583</c:v>
                </c:pt>
                <c:pt idx="446">
                  <c:v>-12.9896469233086</c:v>
                </c:pt>
                <c:pt idx="447">
                  <c:v>-1.6719842003195193</c:v>
                </c:pt>
                <c:pt idx="448">
                  <c:v>15.487189189895521</c:v>
                </c:pt>
                <c:pt idx="449">
                  <c:v>-21.188884388642503</c:v>
                </c:pt>
                <c:pt idx="450">
                  <c:v>15.760538959831123</c:v>
                </c:pt>
                <c:pt idx="451">
                  <c:v>-2.0320280536089368</c:v>
                </c:pt>
                <c:pt idx="452">
                  <c:v>-12.795548939737253</c:v>
                </c:pt>
                <c:pt idx="453">
                  <c:v>20.927128115661723</c:v>
                </c:pt>
                <c:pt idx="454">
                  <c:v>-18.071685228332591</c:v>
                </c:pt>
                <c:pt idx="455">
                  <c:v>5.706574491057653</c:v>
                </c:pt>
                <c:pt idx="456">
                  <c:v>9.6866557396241912</c:v>
                </c:pt>
                <c:pt idx="457">
                  <c:v>-20.019775704713325</c:v>
                </c:pt>
                <c:pt idx="458">
                  <c:v>19.847792864406856</c:v>
                </c:pt>
                <c:pt idx="459">
                  <c:v>-9.2381610226246984</c:v>
                </c:pt>
                <c:pt idx="460">
                  <c:v>-6.2526308704882556</c:v>
                </c:pt>
                <c:pt idx="461">
                  <c:v>18.489106867140794</c:v>
                </c:pt>
                <c:pt idx="462">
                  <c:v>-21.029438082534753</c:v>
                </c:pt>
                <c:pt idx="463">
                  <c:v>12.516719662886103</c:v>
                </c:pt>
                <c:pt idx="464">
                  <c:v>2.5964395539062508</c:v>
                </c:pt>
                <c:pt idx="465">
                  <c:v>-16.376846430199702</c:v>
                </c:pt>
                <c:pt idx="466">
                  <c:v>21.575042024088813</c:v>
                </c:pt>
                <c:pt idx="467">
                  <c:v>-15.439045205893136</c:v>
                </c:pt>
                <c:pt idx="468">
                  <c:v>1.1712036654267168</c:v>
                </c:pt>
                <c:pt idx="469">
                  <c:v>13.74303865537275</c:v>
                </c:pt>
                <c:pt idx="470">
                  <c:v>-21.462309605750896</c:v>
                </c:pt>
                <c:pt idx="471">
                  <c:v>17.912047798312976</c:v>
                </c:pt>
                <c:pt idx="472">
                  <c:v>-4.9351957723704558</c:v>
                </c:pt>
                <c:pt idx="473">
                  <c:v>-10.664343961332923</c:v>
                </c:pt>
                <c:pt idx="474">
                  <c:v>20.689082262364629</c:v>
                </c:pt>
                <c:pt idx="475">
                  <c:v>-19.855718826473442</c:v>
                </c:pt>
                <c:pt idx="476">
                  <c:v>8.5795700945050672</c:v>
                </c:pt>
                <c:pt idx="477">
                  <c:v>7.2318062870729927</c:v>
                </c:pt>
                <c:pt idx="478">
                  <c:v>-19.273573335540302</c:v>
                </c:pt>
                <c:pt idx="479">
                  <c:v>21.205715646553458</c:v>
                </c:pt>
                <c:pt idx="480">
                  <c:v>-11.991076890368332</c:v>
                </c:pt>
                <c:pt idx="481">
                  <c:v>-3.5481561874353074</c:v>
                </c:pt>
                <c:pt idx="482">
                  <c:v>17.25397382771672</c:v>
                </c:pt>
                <c:pt idx="483">
                  <c:v>-21.915481807430723</c:v>
                </c:pt>
                <c:pt idx="484">
                  <c:v>15.062708943266834</c:v>
                </c:pt>
                <c:pt idx="485">
                  <c:v>-0.2752702907554947</c:v>
                </c:pt>
                <c:pt idx="486">
                  <c:v>-14.687435736678786</c:v>
                </c:pt>
                <c:pt idx="487">
                  <c:v>21.957833218127774</c:v>
                </c:pt>
                <c:pt idx="488">
                  <c:v>-17.697062240105115</c:v>
                </c:pt>
                <c:pt idx="489">
                  <c:v>4.1219043286055115</c:v>
                </c:pt>
                <c:pt idx="490">
                  <c:v>11.648459603544572</c:v>
                </c:pt>
                <c:pt idx="491">
                  <c:v>-21.325956785374824</c:v>
                </c:pt>
                <c:pt idx="492">
                  <c:v>19.809426094260342</c:v>
                </c:pt>
                <c:pt idx="493">
                  <c:v>-7.8735062441081523</c:v>
                </c:pt>
                <c:pt idx="494">
                  <c:v>-8.2267316411037346</c:v>
                </c:pt>
                <c:pt idx="495">
                  <c:v>20.033785906538537</c:v>
                </c:pt>
                <c:pt idx="496">
                  <c:v>-21.330504674078053</c:v>
                </c:pt>
                <c:pt idx="497">
                  <c:v>11.413807515766997</c:v>
                </c:pt>
                <c:pt idx="498">
                  <c:v>4.5244732702721997</c:v>
                </c:pt>
                <c:pt idx="499">
                  <c:v>-18.115736305109888</c:v>
                </c:pt>
                <c:pt idx="500">
                  <c:v>22.208682610026891</c:v>
                </c:pt>
                <c:pt idx="501">
                  <c:v>-14.63212052572973</c:v>
                </c:pt>
                <c:pt idx="502">
                  <c:v>-0.6533815265489753</c:v>
                </c:pt>
                <c:pt idx="503">
                  <c:v>15.625805453160629</c:v>
                </c:pt>
                <c:pt idx="504">
                  <c:v>-22.411760863303481</c:v>
                </c:pt>
                <c:pt idx="505">
                  <c:v>17.426803781420979</c:v>
                </c:pt>
                <c:pt idx="506">
                  <c:v>-3.2687478950156104</c:v>
                </c:pt>
                <c:pt idx="507">
                  <c:v>-12.636058626840441</c:v>
                </c:pt>
                <c:pt idx="508">
                  <c:v>21.928104944681724</c:v>
                </c:pt>
                <c:pt idx="509">
                  <c:v>-19.708474022633187</c:v>
                </c:pt>
                <c:pt idx="510">
                  <c:v>7.1216126393548445</c:v>
                </c:pt>
                <c:pt idx="511">
                  <c:v>9.2345438699706861</c:v>
                </c:pt>
                <c:pt idx="512">
                  <c:v>-20.767165396659315</c:v>
                </c:pt>
                <c:pt idx="513">
                  <c:v>21.402863674603914</c:v>
                </c:pt>
                <c:pt idx="514">
                  <c:v>-10.786100977207685</c:v>
                </c:pt>
                <c:pt idx="515">
                  <c:v>-5.5226961941051478</c:v>
                </c:pt>
                <c:pt idx="516">
                  <c:v>18.959349652310564</c:v>
                </c:pt>
                <c:pt idx="517">
                  <c:v>-22.453232370946981</c:v>
                </c:pt>
                <c:pt idx="518">
                  <c:v>14.147980537429072</c:v>
                </c:pt>
                <c:pt idx="519">
                  <c:v>1.6123076506147465</c:v>
                </c:pt>
                <c:pt idx="520">
                  <c:v>-16.555244372456279</c:v>
                </c:pt>
                <c:pt idx="521">
                  <c:v>22.822254445935485</c:v>
                </c:pt>
                <c:pt idx="522">
                  <c:v>-17.101464076126216</c:v>
                </c:pt>
                <c:pt idx="523">
                  <c:v>2.3778460488097677</c:v>
                </c:pt>
                <c:pt idx="524">
                  <c:v>13.624207522018438</c:v>
                </c:pt>
                <c:pt idx="525">
                  <c:v>-22.493319993876959</c:v>
                </c:pt>
                <c:pt idx="526">
                  <c:v>19.55254085549532</c:v>
                </c:pt>
                <c:pt idx="527">
                  <c:v>-6.325620365332977</c:v>
                </c:pt>
                <c:pt idx="528">
                  <c:v>-10.252369149959815</c:v>
                </c:pt>
                <c:pt idx="529">
                  <c:v>21.471204842802706</c:v>
                </c:pt>
                <c:pt idx="530">
                  <c:v>-21.421968673098309</c:v>
                </c:pt>
                <c:pt idx="531">
                  <c:v>10.109247990172578</c:v>
                </c:pt>
                <c:pt idx="532">
                  <c:v>6.540098469303306</c:v>
                </c:pt>
                <c:pt idx="533">
                  <c:v>-19.782084052145358</c:v>
                </c:pt>
                <c:pt idx="534">
                  <c:v>22.647831357214489</c:v>
                </c:pt>
                <c:pt idx="535">
                  <c:v>-13.611101032591627</c:v>
                </c:pt>
                <c:pt idx="536">
                  <c:v>-2.5990118061842868</c:v>
                </c:pt>
                <c:pt idx="537">
                  <c:v>17.47288373046143</c:v>
                </c:pt>
                <c:pt idx="538">
                  <c:v>-23.187579345041474</c:v>
                </c:pt>
                <c:pt idx="539">
                  <c:v>16.7213529235386</c:v>
                </c:pt>
                <c:pt idx="540">
                  <c:v>-1.4513892380549411</c:v>
                </c:pt>
                <c:pt idx="541">
                  <c:v>-14.609986458000401</c:v>
                </c:pt>
                <c:pt idx="542">
                  <c:v>23.019486409540399</c:v>
                </c:pt>
                <c:pt idx="543">
                  <c:v>-19.341425904641735</c:v>
                </c:pt>
                <c:pt idx="544">
                  <c:v>5.4873479663555669</c:v>
                </c:pt>
                <c:pt idx="545">
                  <c:v>11.277325754662959</c:v>
                </c:pt>
                <c:pt idx="546">
                  <c:v>-22.143473235638623</c:v>
                </c:pt>
                <c:pt idx="547">
                  <c:v>21.387115818059922</c:v>
                </c:pt>
                <c:pt idx="548">
                  <c:v>-9.3846406264660853</c:v>
                </c:pt>
                <c:pt idx="549">
                  <c:v>-7.5739242277242118</c:v>
                </c:pt>
                <c:pt idx="550">
                  <c:v>20.581267833264789</c:v>
                </c:pt>
                <c:pt idx="551">
                  <c:v>-22.791295159944394</c:v>
                </c:pt>
                <c:pt idx="552">
                  <c:v>13.022406165573713</c:v>
                </c:pt>
                <c:pt idx="553">
                  <c:v>3.6109476626250636</c:v>
                </c:pt>
                <c:pt idx="554">
                  <c:v>-18.375893124938546</c:v>
                </c:pt>
                <c:pt idx="555">
                  <c:v>23.506107745993379</c:v>
                </c:pt>
                <c:pt idx="556">
                  <c:v>-16.286899452724626</c:v>
                </c:pt>
                <c:pt idx="557">
                  <c:v>0.4916371742093929</c:v>
                </c:pt>
                <c:pt idx="558">
                  <c:v>15.590492833748865</c:v>
                </c:pt>
                <c:pt idx="559">
                  <c:v>-23.504583496010206</c:v>
                </c:pt>
                <c:pt idx="560">
                  <c:v>19.075051278996199</c:v>
                </c:pt>
                <c:pt idx="561">
                  <c:v>-4.6087003656177723</c:v>
                </c:pt>
                <c:pt idx="562">
                  <c:v>-12.306527380888635</c:v>
                </c:pt>
                <c:pt idx="563">
                  <c:v>22.781619323890631</c:v>
                </c:pt>
                <c:pt idx="564">
                  <c:v>-21.297723633050428</c:v>
                </c:pt>
                <c:pt idx="565">
                  <c:v>8.6137718019793468</c:v>
                </c:pt>
                <c:pt idx="566">
                  <c:v>8.6213912389052076</c:v>
                </c:pt>
                <c:pt idx="567">
                  <c:v>-21.354291391717954</c:v>
                </c:pt>
                <c:pt idx="568">
                  <c:v>22.882557431487957</c:v>
                </c:pt>
                <c:pt idx="569">
                  <c:v>-12.382932276022142</c:v>
                </c:pt>
                <c:pt idx="570">
                  <c:v>-4.6455214597331072</c:v>
                </c:pt>
                <c:pt idx="571">
                  <c:v>19.261484464733805</c:v>
                </c:pt>
                <c:pt idx="572">
                  <c:v>-23.776321812533947</c:v>
                </c:pt>
                <c:pt idx="573">
                  <c:v>15.798652821091553</c:v>
                </c:pt>
                <c:pt idx="574">
                  <c:v>0.49908332799803667</c:v>
                </c:pt>
                <c:pt idx="575">
                  <c:v>-16.562845159959263</c:v>
                </c:pt>
                <c:pt idx="576">
                  <c:v>23.946688927845706</c:v>
                </c:pt>
                <c:pt idx="577">
                  <c:v>-18.75346319769633</c:v>
                </c:pt>
                <c:pt idx="578">
                  <c:v>3.6916672375460555</c:v>
                </c:pt>
                <c:pt idx="579">
                  <c:v>13.33708686490422</c:v>
                </c:pt>
                <c:pt idx="580">
                  <c:v>-23.383375450076553</c:v>
                </c:pt>
                <c:pt idx="581">
                  <c:v>21.153334929351459</c:v>
                </c:pt>
                <c:pt idx="582">
                  <c:v>-7.7982342376863203</c:v>
                </c:pt>
                <c:pt idx="583">
                  <c:v>-9.6796943625376137</c:v>
                </c:pt>
                <c:pt idx="584">
                  <c:v>22.098611231374957</c:v>
                </c:pt>
                <c:pt idx="585">
                  <c:v>-22.920672366209399</c:v>
                </c:pt>
                <c:pt idx="586">
                  <c:v>11.693827481812409</c:v>
                </c:pt>
                <c:pt idx="587">
                  <c:v>5.7000951007816978</c:v>
                </c:pt>
                <c:pt idx="588">
                  <c:v>-20.126916116974655</c:v>
                </c:pt>
                <c:pt idx="589">
                  <c:v>23.996816687541163</c:v>
                </c:pt>
                <c:pt idx="590">
                  <c:v>-15.257282467049352</c:v>
                </c:pt>
                <c:pt idx="591">
                  <c:v>-1.5183809942855226</c:v>
                </c:pt>
                <c:pt idx="592">
                  <c:v>17.524187208084044</c:v>
                </c:pt>
                <c:pt idx="593">
                  <c:v>-24.343982206335188</c:v>
                </c:pt>
                <c:pt idx="594">
                  <c:v>18.376832913569938</c:v>
                </c:pt>
                <c:pt idx="595">
                  <c:v>-2.7383208949403977</c:v>
                </c:pt>
                <c:pt idx="596">
                  <c:v>-14.366120224041126</c:v>
                </c:pt>
                <c:pt idx="597">
                  <c:v>23.946561383385937</c:v>
                </c:pt>
                <c:pt idx="598">
                  <c:v>-20.953618393244618</c:v>
                </c:pt>
                <c:pt idx="599">
                  <c:v>6.9397189474641863</c:v>
                </c:pt>
                <c:pt idx="600">
                  <c:v>10.746009372350196</c:v>
                </c:pt>
                <c:pt idx="601">
                  <c:v>-22.811754080450914</c:v>
                </c:pt>
                <c:pt idx="602">
                  <c:v>22.904816925807332</c:v>
                </c:pt>
                <c:pt idx="603">
                  <c:v>-10.956350822991206</c:v>
                </c:pt>
                <c:pt idx="604">
                  <c:v>-6.7719896503571864</c:v>
                </c:pt>
                <c:pt idx="605">
                  <c:v>20.969497203124746</c:v>
                </c:pt>
                <c:pt idx="606">
                  <c:v>-24.166303311860691</c:v>
                </c:pt>
                <c:pt idx="607">
                  <c:v>14.663577949321869</c:v>
                </c:pt>
                <c:pt idx="608">
                  <c:v>2.5638031597120454</c:v>
                </c:pt>
                <c:pt idx="609">
                  <c:v>-18.47169237339142</c:v>
                </c:pt>
                <c:pt idx="610">
                  <c:v>24.694748008968258</c:v>
                </c:pt>
                <c:pt idx="611">
                  <c:v>-17.945457268437359</c:v>
                </c:pt>
                <c:pt idx="612">
                  <c:v>1.7508137429481905</c:v>
                </c:pt>
                <c:pt idx="613">
                  <c:v>15.39075096854434</c:v>
                </c:pt>
                <c:pt idx="614">
                  <c:v>-24.469088119856917</c:v>
                </c:pt>
                <c:pt idx="615">
                  <c:v>20.698369858302641</c:v>
                </c:pt>
                <c:pt idx="616">
                  <c:v>-6.0400132970419085</c:v>
                </c:pt>
                <c:pt idx="617">
                  <c:v>-11.817497096266028</c:v>
                </c:pt>
                <c:pt idx="618">
                  <c:v>23.491321047035882</c:v>
                </c:pt>
                <c:pt idx="619">
                  <c:v>-22.834292809028398</c:v>
                </c:pt>
                <c:pt idx="620">
                  <c:v>10.171870992843157</c:v>
                </c:pt>
                <c:pt idx="621">
                  <c:v>7.8584891838747311</c:v>
                </c:pt>
                <c:pt idx="622">
                  <c:v>-21.786592001655418</c:v>
                </c:pt>
                <c:pt idx="623">
                  <c:v>24.283611051176244</c:v>
                </c:pt>
                <c:pt idx="624">
                  <c:v>-14.018448399682732</c:v>
                </c:pt>
                <c:pt idx="625">
                  <c:v>-3.63283921364203</c:v>
                </c:pt>
                <c:pt idx="626">
                  <c:v>19.40256820614966</c:v>
                </c:pt>
                <c:pt idx="627">
                  <c:v>-24.997379413095739</c:v>
                </c:pt>
                <c:pt idx="628">
                  <c:v>17.459758897753627</c:v>
                </c:pt>
                <c:pt idx="629">
                  <c:v>-0.73137534404389648</c:v>
                </c:pt>
                <c:pt idx="630">
                  <c:v>-16.408114635979327</c:v>
                </c:pt>
                <c:pt idx="631">
                  <c:v>24.948961623485893</c:v>
                </c:pt>
                <c:pt idx="632">
                  <c:v>-20.387513270800511</c:v>
                </c:pt>
                <c:pt idx="633">
                  <c:v>5.100998671916642</c:v>
                </c:pt>
                <c:pt idx="634">
                  <c:v>12.8913078253818</c:v>
                </c:pt>
                <c:pt idx="635">
                  <c:v>-24.134991781274827</c:v>
                </c:pt>
                <c:pt idx="636">
                  <c:v>22.708528164801365</c:v>
                </c:pt>
                <c:pt idx="637">
                  <c:v>-9.3418646866076429</c:v>
                </c:pt>
                <c:pt idx="638">
                  <c:v>-8.9568449430115589</c:v>
                </c:pt>
                <c:pt idx="639">
                  <c:v>22.575624420106418</c:v>
                </c:pt>
                <c:pt idx="640">
                  <c:v>-24.347690121570491</c:v>
                </c:pt>
                <c:pt idx="641">
                  <c:v>13.322921612095429</c:v>
                </c:pt>
                <c:pt idx="642">
                  <c:v>4.7229243780002426</c:v>
                </c:pt>
                <c:pt idx="643">
                  <c:v>-20.314061070945758</c:v>
                </c:pt>
                <c:pt idx="644">
                  <c:v>25.250380976860498</c:v>
                </c:pt>
                <c:pt idx="645">
                  <c:v>-16.920286099160919</c:v>
                </c:pt>
                <c:pt idx="646">
                  <c:v>-0.31769086798766688</c:v>
                </c:pt>
                <c:pt idx="647">
                  <c:v>17.415363506735329</c:v>
                </c:pt>
                <c:pt idx="648">
                  <c:v>-25.384286484903065</c:v>
                </c:pt>
                <c:pt idx="649">
                  <c:v>20.021101354760145</c:v>
                </c:pt>
                <c:pt idx="650">
                  <c:v>-4.1246477868836591</c:v>
                </c:pt>
                <c:pt idx="651">
                  <c:v>-13.964585950456375</c:v>
                </c:pt>
                <c:pt idx="652">
                  <c:v>24.74052861541583</c:v>
                </c:pt>
                <c:pt idx="653">
                  <c:v>-22.527079047453491</c:v>
                </c:pt>
                <c:pt idx="654">
                  <c:v>8.4679145940562819</c:v>
                </c:pt>
                <c:pt idx="655">
                  <c:v>10.06427975740929</c:v>
                </c:pt>
                <c:pt idx="656">
                  <c:v>-23.334082504066945</c:v>
                </c:pt>
                <c:pt idx="657">
                  <c:v>24.357613805123904</c:v>
                </c:pt>
                <c:pt idx="658">
                  <c:v>-12.578142787427813</c:v>
                </c:pt>
                <c:pt idx="659">
                  <c:v>-5.831443782205648</c:v>
                </c:pt>
                <c:pt idx="660">
                  <c:v>21.203460898887283</c:v>
                </c:pt>
                <c:pt idx="661">
                  <c:v>-25.45237166219707</c:v>
                </c:pt>
                <c:pt idx="662">
                  <c:v>16.327712377308465</c:v>
                </c:pt>
                <c:pt idx="663">
                  <c:v>1.3940111919394054</c:v>
                </c:pt>
                <c:pt idx="664">
                  <c:v>-18.409671464429262</c:v>
                </c:pt>
                <c:pt idx="665">
                  <c:v>25.773269476750027</c:v>
                </c:pt>
                <c:pt idx="666">
                  <c:v>-19.599315981781295</c:v>
                </c:pt>
                <c:pt idx="667">
                  <c:v>3.1130216652981972</c:v>
                </c:pt>
                <c:pt idx="668">
                  <c:v>15.034474789537903</c:v>
                </c:pt>
                <c:pt idx="669">
                  <c:v>-25.305780656391491</c:v>
                </c:pt>
                <c:pt idx="670">
                  <c:v>22.289630612461778</c:v>
                </c:pt>
                <c:pt idx="671">
                  <c:v>-7.5517070587843564</c:v>
                </c:pt>
                <c:pt idx="672">
                  <c:v>-11.177992697427539</c:v>
                </c:pt>
                <c:pt idx="673">
                  <c:v>24.059522954096316</c:v>
                </c:pt>
                <c:pt idx="674">
                  <c:v>-24.312580447631785</c:v>
                </c:pt>
                <c:pt idx="675">
                  <c:v>11.785372950680289</c:v>
                </c:pt>
                <c:pt idx="676">
                  <c:v>6.9557368017363803</c:v>
                </c:pt>
                <c:pt idx="677">
                  <c:v>-22.068106001549779</c:v>
                </c:pt>
                <c:pt idx="678">
                  <c:v>25.602087586180012</c:v>
                </c:pt>
                <c:pt idx="679">
                  <c:v>-15.682835675638843</c:v>
                </c:pt>
                <c:pt idx="680">
                  <c:v>-2.4951455516886409</c:v>
                </c:pt>
                <c:pt idx="681">
                  <c:v>19.388238968498975</c:v>
                </c:pt>
                <c:pt idx="682">
                  <c:v>-26.114222987035241</c:v>
                </c:pt>
                <c:pt idx="683">
                  <c:v>19.122468250369721</c:v>
                </c:pt>
                <c:pt idx="684">
                  <c:v>-2.0682663133560375</c:v>
                </c:pt>
                <c:pt idx="685">
                  <c:v>-16.098121574274906</c:v>
                </c:pt>
                <c:pt idx="686">
                  <c:v>25.8286878080036</c:v>
                </c:pt>
                <c:pt idx="687">
                  <c:v>-21.995998051177818</c:v>
                </c:pt>
                <c:pt idx="688">
                  <c:v>6.5950294244591596</c:v>
                </c:pt>
                <c:pt idx="689">
                  <c:v>12.295163926599463</c:v>
                </c:pt>
                <c:pt idx="690">
                  <c:v>-24.749575624536227</c:v>
                </c:pt>
                <c:pt idx="691">
                  <c:v>24.2119152311204</c:v>
                </c:pt>
                <c:pt idx="692">
                  <c:v>-10.945987055858966</c:v>
                </c:pt>
                <c:pt idx="693">
                  <c:v>-8.0931016313895299</c:v>
                </c:pt>
                <c:pt idx="694">
                  <c:v>22.905387918385308</c:v>
                </c:pt>
                <c:pt idx="695">
                  <c:v>-25.698384588310343</c:v>
                </c:pt>
                <c:pt idx="696">
                  <c:v>14.986577304703731</c:v>
                </c:pt>
                <c:pt idx="697">
                  <c:v>3.6185916510567444</c:v>
                </c:pt>
                <c:pt idx="698">
                  <c:v>-20.348298110068949</c:v>
                </c:pt>
                <c:pt idx="699">
                  <c:v>26.405568313590845</c:v>
                </c:pt>
                <c:pt idx="700">
                  <c:v>-18.590998278543594</c:v>
                </c:pt>
                <c:pt idx="701">
                  <c:v>0.9926091117178758</c:v>
                </c:pt>
                <c:pt idx="702">
                  <c:v>17.152682565978534</c:v>
                </c:pt>
                <c:pt idx="703">
                  <c:v>-26.307284702197617</c:v>
                </c:pt>
                <c:pt idx="704">
                  <c:v>21.646127263088221</c:v>
                </c:pt>
                <c:pt idx="705">
                  <c:v>-5.5997670862298561</c:v>
                </c:pt>
                <c:pt idx="706">
                  <c:v>-13.412959725978469</c:v>
                </c:pt>
                <c:pt idx="707">
                  <c:v>25.401947980960333</c:v>
                </c:pt>
                <c:pt idx="708">
                  <c:v>-24.055071714738727</c:v>
                </c:pt>
                <c:pt idx="709">
                  <c:v>10.061471791820917</c:v>
                </c:pt>
                <c:pt idx="710">
                  <c:v>9.240800066793156</c:v>
                </c:pt>
                <c:pt idx="711">
                  <c:v>-23.712756272434742</c:v>
                </c:pt>
                <c:pt idx="712">
                  <c:v>25.740240602592063</c:v>
                </c:pt>
                <c:pt idx="713">
                  <c:v>-14.239980575436057</c:v>
                </c:pt>
                <c:pt idx="714">
                  <c:v>-4.7617893674403131</c:v>
                </c:pt>
                <c:pt idx="715">
                  <c:v>21.28711772466767</c:v>
                </c:pt>
                <c:pt idx="716">
                  <c:v>-26.645838804367418</c:v>
                </c:pt>
                <c:pt idx="717">
                  <c:v>18.005474713329129</c:v>
                </c:pt>
                <c:pt idx="718">
                  <c:v>0.11164505506880389</c:v>
                </c:pt>
                <c:pt idx="719">
                  <c:v>-18.19532827464872</c:v>
                </c:pt>
                <c:pt idx="720">
                  <c:v>26.739704520731831</c:v>
                </c:pt>
                <c:pt idx="721">
                  <c:v>-21.240095264333966</c:v>
                </c:pt>
                <c:pt idx="722">
                  <c:v>4.5679002640285438</c:v>
                </c:pt>
                <c:pt idx="723">
                  <c:v>14.528537664107954</c:v>
                </c:pt>
                <c:pt idx="724">
                  <c:v>-26.01442949481725</c:v>
                </c:pt>
                <c:pt idx="725">
                  <c:v>23.841633138079445</c:v>
                </c:pt>
                <c:pt idx="726">
                  <c:v>-9.133423101826601</c:v>
                </c:pt>
                <c:pt idx="727">
                  <c:v>-10.396062470086179</c:v>
                </c:pt>
                <c:pt idx="728">
                  <c:v>24.487723611233129</c:v>
                </c:pt>
                <c:pt idx="729">
                  <c:v>-25.726757824226169</c:v>
                </c:pt>
                <c:pt idx="730">
                  <c:v>13.444209145719832</c:v>
                </c:pt>
                <c:pt idx="731">
                  <c:v>5.9221253622760939</c:v>
                </c:pt>
                <c:pt idx="732">
                  <c:v>-22.202008537668746</c:v>
                </c:pt>
                <c:pt idx="733">
                  <c:v>26.833682829739658</c:v>
                </c:pt>
                <c:pt idx="734">
                  <c:v>-17.366593960946506</c:v>
                </c:pt>
                <c:pt idx="735">
                  <c:v>-1.2421179123217274</c:v>
                </c:pt>
                <c:pt idx="736">
                  <c:v>19.223248756985672</c:v>
                </c:pt>
                <c:pt idx="737">
                  <c:v>-27.124182690278371</c:v>
                </c:pt>
                <c:pt idx="738">
                  <c:v>20.778110331701829</c:v>
                </c:pt>
                <c:pt idx="739">
                  <c:v>-3.5015005129528958</c:v>
                </c:pt>
                <c:pt idx="740">
                  <c:v>-15.639051889576244</c:v>
                </c:pt>
                <c:pt idx="741">
                  <c:v>26.584895955934989</c:v>
                </c:pt>
                <c:pt idx="742">
                  <c:v>-23.571313481716697</c:v>
                </c:pt>
                <c:pt idx="743">
                  <c:v>8.1635434280571193</c:v>
                </c:pt>
                <c:pt idx="744">
                  <c:v>11.556092897514814</c:v>
                </c:pt>
                <c:pt idx="745">
                  <c:v>-25.227870211542985</c:v>
                </c:pt>
                <c:pt idx="746">
                  <c:v>25.657164661912258</c:v>
                </c:pt>
                <c:pt idx="747">
                  <c:v>-12.600545087625338</c:v>
                </c:pt>
                <c:pt idx="748">
                  <c:v>-7.0969378880508884</c:v>
                </c:pt>
                <c:pt idx="749">
                  <c:v>23.090328320444986</c:v>
                </c:pt>
                <c:pt idx="750">
                  <c:v>-26.967866574241608</c:v>
                </c:pt>
                <c:pt idx="751">
                  <c:v>16.675179140790174</c:v>
                </c:pt>
                <c:pt idx="752">
                  <c:v>2.3963621347272754</c:v>
                </c:pt>
                <c:pt idx="753">
                  <c:v>-20.233658970976645</c:v>
                </c:pt>
                <c:pt idx="754">
                  <c:v>27.459060435491963</c:v>
                </c:pt>
                <c:pt idx="755">
                  <c:v>-20.260511881263451</c:v>
                </c:pt>
                <c:pt idx="756">
                  <c:v>2.4027269856447155</c:v>
                </c:pt>
                <c:pt idx="757">
                  <c:v>16.741658523865922</c:v>
                </c:pt>
                <c:pt idx="758">
                  <c:v>-27.111313684994858</c:v>
                </c:pt>
                <c:pt idx="759">
                  <c:v>23.243958280651626</c:v>
                </c:pt>
                <c:pt idx="760">
                  <c:v>-7.1536386925477817</c:v>
                </c:pt>
                <c:pt idx="761">
                  <c:v>-12.718074368201339</c:v>
                </c:pt>
                <c:pt idx="762">
                  <c:v>25.930848828663692</c:v>
                </c:pt>
                <c:pt idx="763">
                  <c:v>-25.530817467564482</c:v>
                </c:pt>
                <c:pt idx="764">
                  <c:v>11.710386682665073</c:v>
                </c:pt>
                <c:pt idx="765">
                  <c:v>8.2835217732568136</c:v>
                </c:pt>
                <c:pt idx="766">
                  <c:v>-23.94948703644414</c:v>
                </c:pt>
                <c:pt idx="767">
                  <c:v>27.047276636365279</c:v>
                </c:pt>
                <c:pt idx="768">
                  <c:v>-15.932178767080373</c:v>
                </c:pt>
                <c:pt idx="769">
                  <c:v>-3.5718658948311868</c:v>
                </c:pt>
                <c:pt idx="770">
                  <c:v>21.223804165908152</c:v>
                </c:pt>
                <c:pt idx="771">
                  <c:v>-27.74278817580511</c:v>
                </c:pt>
                <c:pt idx="772">
                  <c:v>19.687770081724373</c:v>
                </c:pt>
                <c:pt idx="773">
                  <c:v>-1.273822460152634</c:v>
                </c:pt>
                <c:pt idx="774">
                  <c:v>-17.833521134019048</c:v>
                </c:pt>
                <c:pt idx="775">
                  <c:v>27.591743629595292</c:v>
                </c:pt>
                <c:pt idx="776">
                  <c:v>-22.859545186567164</c:v>
                </c:pt>
                <c:pt idx="777">
                  <c:v>6.1056150249934396</c:v>
                </c:pt>
                <c:pt idx="778">
                  <c:v>13.879174254590962</c:v>
                </c:pt>
                <c:pt idx="779">
                  <c:v>-26.594389372018227</c:v>
                </c:pt>
                <c:pt idx="780">
                  <c:v>25.347202036232186</c:v>
                </c:pt>
                <c:pt idx="781">
                  <c:v>-10.775245952733458</c:v>
                </c:pt>
                <c:pt idx="782">
                  <c:v>-9.4791335669595576</c:v>
                </c:pt>
                <c:pt idx="783">
                  <c:v>24.776951958312154</c:v>
                </c:pt>
                <c:pt idx="784">
                  <c:v>-27.070922426057088</c:v>
                </c:pt>
                <c:pt idx="785">
                  <c:v>15.138665161983271</c:v>
                </c:pt>
                <c:pt idx="786">
                  <c:v>4.7660576049614338</c:v>
                </c:pt>
                <c:pt idx="787">
                  <c:v>-22.190965288695754</c:v>
                </c:pt>
                <c:pt idx="788">
                  <c:v>27.973928752967328</c:v>
                </c:pt>
                <c:pt idx="789">
                  <c:v>-19.060485202577201</c:v>
                </c:pt>
                <c:pt idx="790">
                  <c:v>0.11710914654509245</c:v>
                </c:pt>
                <c:pt idx="791">
                  <c:v>18.911816266092909</c:v>
                </c:pt>
                <c:pt idx="792">
                  <c:v>-28.024345328615603</c:v>
                </c:pt>
                <c:pt idx="793">
                  <c:v>22.418184275885764</c:v>
                </c:pt>
                <c:pt idx="794">
                  <c:v>-5.0214752478274312</c:v>
                </c:pt>
                <c:pt idx="795">
                  <c:v>-15.036549776020445</c:v>
                </c:pt>
                <c:pt idx="796">
                  <c:v>27.216303490207171</c:v>
                </c:pt>
                <c:pt idx="797">
                  <c:v>-25.105934869701798</c:v>
                </c:pt>
                <c:pt idx="798">
                  <c:v>9.7967459334954619</c:v>
                </c:pt>
                <c:pt idx="799">
                  <c:v>10.680996826121797</c:v>
                </c:pt>
                <c:pt idx="800">
                  <c:v>-25.570252738000676</c:v>
                </c:pt>
                <c:pt idx="801">
                  <c:v>27.037938350506362</c:v>
                </c:pt>
                <c:pt idx="802">
                  <c:v>-14.295832603929446</c:v>
                </c:pt>
                <c:pt idx="803">
                  <c:v>-5.9763108369439042</c:v>
                </c:pt>
                <c:pt idx="804">
                  <c:v>23.13246438782922</c:v>
                </c:pt>
                <c:pt idx="805">
                  <c:v>-28.151160477365263</c:v>
                </c:pt>
                <c:pt idx="806">
                  <c:v>18.37938669788101</c:v>
                </c:pt>
                <c:pt idx="807">
                  <c:v>1.0650157143845971</c:v>
                </c:pt>
                <c:pt idx="808">
                  <c:v>-19.97373902076912</c:v>
                </c:pt>
                <c:pt idx="809">
                  <c:v>28.407380730881989</c:v>
                </c:pt>
                <c:pt idx="810">
                  <c:v>-21.920118101128555</c:v>
                </c:pt>
                <c:pt idx="811">
                  <c:v>3.9033151290866015</c:v>
                </c:pt>
                <c:pt idx="812">
                  <c:v>16.187353578026823</c:v>
                </c:pt>
                <c:pt idx="813">
                  <c:v>-27.794489049914169</c:v>
                </c:pt>
                <c:pt idx="814">
                  <c:v>24.806764198319062</c:v>
                </c:pt>
                <c:pt idx="815">
                  <c:v>-8.7766176979502344</c:v>
                </c:pt>
                <c:pt idx="816">
                  <c:v>-11.886307529259438</c:v>
                </c:pt>
                <c:pt idx="817">
                  <c:v>26.326986413028216</c:v>
                </c:pt>
                <c:pt idx="818">
                  <c:v>-26.947585779878356</c:v>
                </c:pt>
                <c:pt idx="819">
                  <c:v>13.40499521577178</c:v>
                </c:pt>
                <c:pt idx="820">
                  <c:v>7.1999494052170281</c:v>
                </c:pt>
                <c:pt idx="821">
                  <c:v>-24.045669997543527</c:v>
                </c:pt>
                <c:pt idx="822">
                  <c:v>28.273279982185869</c:v>
                </c:pt>
                <c:pt idx="823">
                  <c:v>-17.645332026646624</c:v>
                </c:pt>
                <c:pt idx="824">
                  <c:v>-2.2700844482810836</c:v>
                </c:pt>
                <c:pt idx="825">
                  <c:v>21.016508653911711</c:v>
                </c:pt>
                <c:pt idx="826">
                  <c:v>-28.73921785503563</c:v>
                </c:pt>
                <c:pt idx="827">
                  <c:v>21.36572148340408</c:v>
                </c:pt>
                <c:pt idx="828">
                  <c:v>-2.7533194128309391</c:v>
                </c:pt>
                <c:pt idx="829">
                  <c:v>-17.32873938004489</c:v>
                </c:pt>
                <c:pt idx="830">
                  <c:v>28.326934493792461</c:v>
                </c:pt>
                <c:pt idx="831">
                  <c:v>-24.449570756052058</c:v>
                </c:pt>
                <c:pt idx="832">
                  <c:v>7.716697137681388</c:v>
                </c:pt>
                <c:pt idx="833">
                  <c:v>13.092239600323818</c:v>
                </c:pt>
                <c:pt idx="834">
                  <c:v>-27.044822333112101</c:v>
                </c:pt>
                <c:pt idx="835">
                  <c:v>26.799254785250298</c:v>
                </c:pt>
                <c:pt idx="836">
                  <c:v>-12.46758459719045</c:v>
                </c:pt>
                <c:pt idx="837">
                  <c:v>-8.4342525989922486</c:v>
                </c:pt>
                <c:pt idx="838">
                  <c:v>24.928002485934819</c:v>
                </c:pt>
                <c:pt idx="839">
                  <c:v>-28.339204875337696</c:v>
                </c:pt>
                <c:pt idx="840">
                  <c:v>16.859305211818214</c:v>
                </c:pt>
                <c:pt idx="841">
                  <c:v>3.495563727373276</c:v>
                </c:pt>
                <c:pt idx="842">
                  <c:v>-22.037374185268824</c:v>
                </c:pt>
                <c:pt idx="843">
                  <c:v>29.018334278441458</c:v>
                </c:pt>
                <c:pt idx="844">
                  <c:v>-20.755501045175329</c:v>
                </c:pt>
                <c:pt idx="845">
                  <c:v>1.5737576377574605</c:v>
                </c:pt>
                <c:pt idx="846">
                  <c:v>18.457867675741628</c:v>
                </c:pt>
                <c:pt idx="847">
                  <c:v>-28.811723063611687</c:v>
                </c:pt>
                <c:pt idx="848">
                  <c:v>24.034368304634413</c:v>
                </c:pt>
                <c:pt idx="849">
                  <c:v>-6.618921509135288</c:v>
                </c:pt>
                <c:pt idx="850">
                  <c:v>-14.295950527814801</c:v>
                </c:pt>
                <c:pt idx="851">
                  <c:v>27.721506991950505</c:v>
                </c:pt>
                <c:pt idx="852">
                  <c:v>-26.592465642059427</c:v>
                </c:pt>
                <c:pt idx="853">
                  <c:v>11.485147206476064</c:v>
                </c:pt>
                <c:pt idx="854">
                  <c:v>9.676460548949871</c:v>
                </c:pt>
                <c:pt idx="855">
                  <c:v>-25.77693935083958</c:v>
                </c:pt>
                <c:pt idx="856">
                  <c:v>28.347976179976364</c:v>
                </c:pt>
                <c:pt idx="857">
                  <c:v>-16.022415139768317</c:v>
                </c:pt>
                <c:pt idx="858">
                  <c:v>-4.738859521263306</c:v>
                </c:pt>
                <c:pt idx="859">
                  <c:v>23.033619999505834</c:v>
                </c:pt>
                <c:pt idx="860">
                  <c:v>-29.243320443908623</c:v>
                </c:pt>
                <c:pt idx="861">
                  <c:v>20.090094482221609</c:v>
                </c:pt>
                <c:pt idx="862">
                  <c:v>-0.36697975399925148</c:v>
                </c:pt>
                <c:pt idx="863">
                  <c:v>-19.571911469855582</c:v>
                </c:pt>
                <c:pt idx="864">
                  <c:v>29.247036875648522</c:v>
                </c:pt>
                <c:pt idx="865">
                  <c:v>-23.561303903619109</c:v>
                </c:pt>
                <c:pt idx="866">
                  <c:v>5.4853257532451289</c:v>
                </c:pt>
                <c:pt idx="867">
                  <c:v>15.494587063678614</c:v>
                </c:pt>
                <c:pt idx="868">
                  <c:v>-28.354868750069322</c:v>
                </c:pt>
                <c:pt idx="869">
                  <c:v>26.326870093089855</c:v>
                </c:pt>
                <c:pt idx="870">
                  <c:v>-10.459341496782006</c:v>
                </c:pt>
                <c:pt idx="871">
                  <c:v>-10.923779715218329</c:v>
                </c:pt>
                <c:pt idx="872">
                  <c:v>26.590020448814034</c:v>
                </c:pt>
                <c:pt idx="873">
                  <c:v>-28.298760555227837</c:v>
                </c:pt>
                <c:pt idx="874">
                  <c:v>15.135893602940021</c:v>
                </c:pt>
                <c:pt idx="875">
                  <c:v>5.9973222064426439</c:v>
                </c:pt>
                <c:pt idx="876">
                  <c:v>-24.002571423848398</c:v>
                </c:pt>
                <c:pt idx="877">
                  <c:v>29.412882773722401</c:v>
                </c:pt>
                <c:pt idx="878">
                  <c:v>-19.370269575025674</c:v>
                </c:pt>
                <c:pt idx="879">
                  <c:v>-0.86458845134967155</c:v>
                </c:pt>
                <c:pt idx="880">
                  <c:v>20.668062036272541</c:v>
                </c:pt>
                <c:pt idx="881">
                  <c:v>-29.631160836173599</c:v>
                </c:pt>
                <c:pt idx="882">
                  <c:v>23.030657923311139</c:v>
                </c:pt>
                <c:pt idx="883">
                  <c:v>-4.3180385963157386</c:v>
                </c:pt>
                <c:pt idx="884">
                  <c:v>-16.685290987545663</c:v>
                </c:pt>
                <c:pt idx="885">
                  <c:v>28.942822435183825</c:v>
                </c:pt>
                <c:pt idx="886">
                  <c:v>-26.002252365591051</c:v>
                </c:pt>
                <c:pt idx="887">
                  <c:v>9.3919348129834965</c:v>
                </c:pt>
                <c:pt idx="888">
                  <c:v>12.173388482525267</c:v>
                </c:pt>
                <c:pt idx="889">
                  <c:v>-27.364853142523845</c:v>
                </c:pt>
                <c:pt idx="890">
                  <c:v>28.190852289536672</c:v>
                </c:pt>
                <c:pt idx="891">
                  <c:v>-14.201093089192705</c:v>
                </c:pt>
                <c:pt idx="892">
                  <c:v>-7.2682518218330561</c:v>
                </c:pt>
                <c:pt idx="893">
                  <c:v>24.941600267710012</c:v>
                </c:pt>
                <c:pt idx="894">
                  <c:v>-29.525846581333557</c:v>
                </c:pt>
                <c:pt idx="895">
                  <c:v>18.596922940171272</c:v>
                </c:pt>
                <c:pt idx="896">
                  <c:v>2.11845010979013</c:v>
                </c:pt>
                <c:pt idx="897">
                  <c:v>-21.743534682740471</c:v>
                </c:pt>
                <c:pt idx="898">
                  <c:v>29.962486385514822</c:v>
                </c:pt>
                <c:pt idx="899">
                  <c:v>-22.44284379876294</c:v>
                </c:pt>
                <c:pt idx="900">
                  <c:v>3.1192784405806218</c:v>
                </c:pt>
                <c:pt idx="901">
                  <c:v>17.865204921720064</c:v>
                </c:pt>
                <c:pt idx="902">
                  <c:v>-29.483373807102435</c:v>
                </c:pt>
                <c:pt idx="903">
                  <c:v>25.618529938161675</c:v>
                </c:pt>
                <c:pt idx="904">
                  <c:v>-8.2848000549469525</c:v>
                </c:pt>
                <c:pt idx="905">
                  <c:v>-13.422442848979063</c:v>
                </c:pt>
                <c:pt idx="906">
                  <c:v>28.099117352745008</c:v>
                </c:pt>
                <c:pt idx="907">
                  <c:v>-28.023675059691865</c:v>
                </c:pt>
                <c:pt idx="908">
                  <c:v>13.219484321008473</c:v>
                </c:pt>
                <c:pt idx="909">
                  <c:v>8.5489034583734096</c:v>
                </c:pt>
                <c:pt idx="910">
                  <c:v>-25.848130309900679</c:v>
                </c:pt>
                <c:pt idx="911">
                  <c:v>29.581158771692454</c:v>
                </c:pt>
                <c:pt idx="912">
                  <c:v>-17.771078522623817</c:v>
                </c:pt>
                <c:pt idx="913">
                  <c:v>-3.3920421969680956</c:v>
                </c:pt>
                <c:pt idx="914">
                  <c:v>22.795574507372727</c:v>
                </c:pt>
                <c:pt idx="915">
                  <c:v>-30.239515060005434</c:v>
                </c:pt>
                <c:pt idx="916">
                  <c:v>21.798407523494465</c:v>
                </c:pt>
                <c:pt idx="917">
                  <c:v>-1.8913490533991622</c:v>
                </c:pt>
                <c:pt idx="918">
                  <c:v>-19.031478182987296</c:v>
                </c:pt>
                <c:pt idx="919">
                  <c:v>29.974623875152865</c:v>
                </c:pt>
                <c:pt idx="920">
                  <c:v>-25.175754053453957</c:v>
                </c:pt>
                <c:pt idx="921">
                  <c:v>7.1399121137023585</c:v>
                </c:pt>
                <c:pt idx="922">
                  <c:v>14.668082195480606</c:v>
                </c:pt>
                <c:pt idx="923">
                  <c:v>-28.79057050185753</c:v>
                </c:pt>
                <c:pt idx="924">
                  <c:v>27.796783449511523</c:v>
                </c:pt>
                <c:pt idx="925">
                  <c:v>-12.192653549108472</c:v>
                </c:pt>
                <c:pt idx="926">
                  <c:v>-9.8364927701776015</c:v>
                </c:pt>
                <c:pt idx="927">
                  <c:v>26.719642719225515</c:v>
                </c:pt>
                <c:pt idx="928">
                  <c:v>-29.577890322056614</c:v>
                </c:pt>
                <c:pt idx="929">
                  <c:v>16.893885830965999</c:v>
                </c:pt>
                <c:pt idx="930">
                  <c:v>4.6827406177990198</c:v>
                </c:pt>
                <c:pt idx="931">
                  <c:v>-23.821462133005543</c:v>
                </c:pt>
                <c:pt idx="932">
                  <c:v>30.460861861697364</c:v>
                </c:pt>
                <c:pt idx="933">
                  <c:v>-21.098026881891744</c:v>
                </c:pt>
                <c:pt idx="934">
                  <c:v>0.63663506361044897</c:v>
                </c:pt>
                <c:pt idx="935">
                  <c:v>20.181272656900251</c:v>
                </c:pt>
                <c:pt idx="936">
                  <c:v>-30.414773056396278</c:v>
                </c:pt>
                <c:pt idx="937">
                  <c:v>24.674109973636394</c:v>
                </c:pt>
                <c:pt idx="938">
                  <c:v>-5.9593440879048272</c:v>
                </c:pt>
                <c:pt idx="939">
                  <c:v>-15.907435121742488</c:v>
                </c:pt>
                <c:pt idx="940">
                  <c:v>29.437052335894528</c:v>
                </c:pt>
                <c:pt idx="941">
                  <c:v>-27.509864222637788</c:v>
                </c:pt>
                <c:pt idx="942">
                  <c:v>11.122299605172755</c:v>
                </c:pt>
                <c:pt idx="943">
                  <c:v>11.128201595221688</c:v>
                </c:pt>
                <c:pt idx="944">
                  <c:v>-27.553681395396573</c:v>
                </c:pt>
                <c:pt idx="945">
                  <c:v>29.515238535611694</c:v>
                </c:pt>
                <c:pt idx="946">
                  <c:v>-15.966617917687083</c:v>
                </c:pt>
                <c:pt idx="947">
                  <c:v>-5.9878654402267033</c:v>
                </c:pt>
                <c:pt idx="948">
                  <c:v>24.818519405446011</c:v>
                </c:pt>
                <c:pt idx="949">
                  <c:v>-30.625258426415499</c:v>
                </c:pt>
                <c:pt idx="950">
                  <c:v>20.342510420679243</c:v>
                </c:pt>
                <c:pt idx="951">
                  <c:v>0.64240272521616792</c:v>
                </c:pt>
                <c:pt idx="952">
                  <c:v>-21.311768681109648</c:v>
                </c:pt>
                <c:pt idx="953">
                  <c:v>30.802125163663984</c:v>
                </c:pt>
                <c:pt idx="954">
                  <c:v>-24.113916975964877</c:v>
                </c:pt>
                <c:pt idx="955">
                  <c:v>4.7452632871875808</c:v>
                </c:pt>
                <c:pt idx="956">
                  <c:v>17.137625336332313</c:v>
                </c:pt>
                <c:pt idx="957">
                  <c:v>-30.036489613046324</c:v>
                </c:pt>
                <c:pt idx="958">
                  <c:v>27.162737344624833</c:v>
                </c:pt>
                <c:pt idx="959">
                  <c:v>-10.010230718479884</c:v>
                </c:pt>
                <c:pt idx="960">
                  <c:v>-12.421183672722384</c:v>
                </c:pt>
                <c:pt idx="961">
                  <c:v>28.347858216778405</c:v>
                </c:pt>
                <c:pt idx="962">
                  <c:v>-29.392529061058646</c:v>
                </c:pt>
                <c:pt idx="963">
                  <c:v>14.990669107557457</c:v>
                </c:pt>
                <c:pt idx="964">
                  <c:v>7.3046862660200844</c:v>
                </c:pt>
                <c:pt idx="965">
                  <c:v>-25.784115042283901</c:v>
                </c:pt>
                <c:pt idx="966">
                  <c:v>30.731555981334555</c:v>
                </c:pt>
                <c:pt idx="967">
                  <c:v>-19.532796159486928</c:v>
                </c:pt>
                <c:pt idx="968">
                  <c:v>-1.943232195370215</c:v>
                </c:pt>
                <c:pt idx="969">
                  <c:v>22.420170924176166</c:v>
                </c:pt>
                <c:pt idx="970">
                  <c:v>-31.135091213034688</c:v>
                </c:pt>
                <c:pt idx="971">
                  <c:v>23.495628086892044</c:v>
                </c:pt>
                <c:pt idx="972">
                  <c:v>-3.4999270308447881</c:v>
                </c:pt>
                <c:pt idx="973">
                  <c:v>-18.355777587118308</c:v>
                </c:pt>
                <c:pt idx="974">
                  <c:v>30.586900646827914</c:v>
                </c:pt>
                <c:pt idx="975">
                  <c:v>-26.755356750418184</c:v>
                </c:pt>
                <c:pt idx="976">
                  <c:v>8.858361102537069</c:v>
                </c:pt>
                <c:pt idx="977">
                  <c:v>13.712570445240402</c:v>
                </c:pt>
                <c:pt idx="978">
                  <c:v>-29.099858182565828</c:v>
                </c:pt>
                <c:pt idx="979">
                  <c:v>29.209217671952828</c:v>
                </c:pt>
                <c:pt idx="980">
                  <c:v>-13.967552477262421</c:v>
                </c:pt>
                <c:pt idx="981">
                  <c:v>-8.6304277279797326</c:v>
                </c:pt>
                <c:pt idx="982">
                  <c:v>26.715670218756273</c:v>
                </c:pt>
                <c:pt idx="983">
                  <c:v>-30.778728083916121</c:v>
                </c:pt>
                <c:pt idx="984">
                  <c:v>18.669950041960572</c:v>
                </c:pt>
                <c:pt idx="985">
                  <c:v>3.2632549393962567</c:v>
                </c:pt>
                <c:pt idx="986">
                  <c:v>-23.50371424615177</c:v>
                </c:pt>
                <c:pt idx="987">
                  <c:v>31.412193040818188</c:v>
                </c:pt>
                <c:pt idx="988">
                  <c:v>-22.81982955332148</c:v>
                </c:pt>
                <c:pt idx="989">
                  <c:v>2.2256782494805192</c:v>
                </c:pt>
                <c:pt idx="990">
                  <c:v>19.559023619025531</c:v>
                </c:pt>
                <c:pt idx="991">
                  <c:v>-31.086399692749623</c:v>
                </c:pt>
                <c:pt idx="992">
                  <c:v>26.287810853483947</c:v>
                </c:pt>
                <c:pt idx="993">
                  <c:v>-7.6687073175513749</c:v>
                </c:pt>
                <c:pt idx="994">
                  <c:v>-14.99947693277125</c:v>
                </c:pt>
                <c:pt idx="995">
                  <c:v>29.807444437099601</c:v>
                </c:pt>
                <c:pt idx="996">
                  <c:v>-28.964891800062905</c:v>
                </c:pt>
                <c:pt idx="997">
                  <c:v>12.898897090678926</c:v>
                </c:pt>
                <c:pt idx="998">
                  <c:v>9.9622751015300306</c:v>
                </c:pt>
                <c:pt idx="999">
                  <c:v>-27.610664078001808</c:v>
                </c:pt>
                <c:pt idx="1000">
                  <c:v>30.765873134613987</c:v>
                </c:pt>
                <c:pt idx="1001">
                  <c:v>30.765873134613987</c:v>
                </c:pt>
                <c:pt idx="1002">
                  <c:v>-30.765873134613987</c:v>
                </c:pt>
                <c:pt idx="1003">
                  <c:v>-30.765873134613987</c:v>
                </c:pt>
                <c:pt idx="1004">
                  <c:v>30.765873134613987</c:v>
                </c:pt>
              </c:numCache>
            </c:numRef>
          </c:xVal>
          <c:yVal>
            <c:numRef>
              <c:f>'【解答】演習問題４（ひまわりシミュレーション）'!$D$12:$D$1016</c:f>
              <c:numCache>
                <c:formatCode>General</c:formatCode>
                <c:ptCount val="1005"/>
                <c:pt idx="0">
                  <c:v>0</c:v>
                </c:pt>
                <c:pt idx="1">
                  <c:v>-0.67550487207621468</c:v>
                </c:pt>
                <c:pt idx="2">
                  <c:v>1.4088034840601091</c:v>
                </c:pt>
                <c:pt idx="3">
                  <c:v>-1.3744943153745257</c:v>
                </c:pt>
                <c:pt idx="4">
                  <c:v>0.34820815563272389</c:v>
                </c:pt>
                <c:pt idx="5">
                  <c:v>1.2003469070586763</c:v>
                </c:pt>
                <c:pt idx="6">
                  <c:v>-2.3655845835708185</c:v>
                </c:pt>
                <c:pt idx="7">
                  <c:v>2.3477990617515792</c:v>
                </c:pt>
                <c:pt idx="8">
                  <c:v>-0.96983955176151548</c:v>
                </c:pt>
                <c:pt idx="9">
                  <c:v>-1.1451626192668818</c:v>
                </c:pt>
                <c:pt idx="10">
                  <c:v>2.8644481841667533</c:v>
                </c:pt>
                <c:pt idx="11">
                  <c:v>-3.1643884348270515</c:v>
                </c:pt>
                <c:pt idx="12">
                  <c:v>1.7362157042407971</c:v>
                </c:pt>
                <c:pt idx="13">
                  <c:v>0.77508694488985952</c:v>
                </c:pt>
                <c:pt idx="14">
                  <c:v>-3.0615048375202232</c:v>
                </c:pt>
                <c:pt idx="15">
                  <c:v>3.8407212780347111</c:v>
                </c:pt>
                <c:pt idx="16">
                  <c:v>-2.576820296619724</c:v>
                </c:pt>
                <c:pt idx="17">
                  <c:v>-0.17174231878680726</c:v>
                </c:pt>
                <c:pt idx="18">
                  <c:v>2.9937436416540177</c:v>
                </c:pt>
                <c:pt idx="19">
                  <c:v>-4.3543216032055128</c:v>
                </c:pt>
                <c:pt idx="20">
                  <c:v>3.4324998008349499</c:v>
                </c:pt>
                <c:pt idx="21">
                  <c:v>-0.60918703420360087</c:v>
                </c:pt>
                <c:pt idx="22">
                  <c:v>-2.6805201894114346</c:v>
                </c:pt>
                <c:pt idx="23">
                  <c:v>4.6793714307508676</c:v>
                </c:pt>
                <c:pt idx="24">
                  <c:v>-4.2494282888178549</c:v>
                </c:pt>
                <c:pt idx="25">
                  <c:v>1.5173203476913557</c:v>
                </c:pt>
                <c:pt idx="26">
                  <c:v>2.1410227224005909</c:v>
                </c:pt>
                <c:pt idx="27">
                  <c:v>-4.7943815837421164</c:v>
                </c:pt>
                <c:pt idx="28">
                  <c:v>4.9782248028692262</c:v>
                </c:pt>
                <c:pt idx="29">
                  <c:v>-2.5026108711501958</c:v>
                </c:pt>
                <c:pt idx="30">
                  <c:v>-1.3992321008500839</c:v>
                </c:pt>
                <c:pt idx="31">
                  <c:v>4.6850412896827613</c:v>
                </c:pt>
                <c:pt idx="32">
                  <c:v>-5.5745137782458682</c:v>
                </c:pt>
                <c:pt idx="33">
                  <c:v>3.5144492023753133</c:v>
                </c:pt>
                <c:pt idx="34">
                  <c:v>0.4853390465706437</c:v>
                </c:pt>
                <c:pt idx="35">
                  <c:v>-4.3455652604498454</c:v>
                </c:pt>
                <c:pt idx="36">
                  <c:v>5.9999479191959963</c:v>
                </c:pt>
                <c:pt idx="37">
                  <c:v>-4.5022397297590775</c:v>
                </c:pt>
                <c:pt idx="38">
                  <c:v>0.56426699825259208</c:v>
                </c:pt>
                <c:pt idx="39">
                  <c:v>3.7793117625670525</c:v>
                </c:pt>
                <c:pt idx="40">
                  <c:v>-6.2233200269608879</c:v>
                </c:pt>
                <c:pt idx="41">
                  <c:v>5.4166049154635623</c:v>
                </c:pt>
                <c:pt idx="42">
                  <c:v>-1.7077486067240069</c:v>
                </c:pt>
                <c:pt idx="43">
                  <c:v>-2.9989034959153176</c:v>
                </c:pt>
                <c:pt idx="44">
                  <c:v>6.2215815911287944</c:v>
                </c:pt>
                <c:pt idx="45">
                  <c:v>-6.2108582907969696</c:v>
                </c:pt>
                <c:pt idx="46">
                  <c:v>2.8990213965363294</c:v>
                </c:pt>
                <c:pt idx="47">
                  <c:v>2.0259381755668859</c:v>
                </c:pt>
                <c:pt idx="48">
                  <c:v>-5.9806629554090822</c:v>
                </c:pt>
                <c:pt idx="49">
                  <c:v>6.8425543549101704</c:v>
                </c:pt>
                <c:pt idx="50">
                  <c:v>-4.0892491263049635</c:v>
                </c:pt>
                <c:pt idx="51">
                  <c:v>-0.89033481919599267</c:v>
                </c:pt>
                <c:pt idx="52">
                  <c:v>5.4960287399511252</c:v>
                </c:pt>
                <c:pt idx="53">
                  <c:v>-7.2749919029739063</c:v>
                </c:pt>
                <c:pt idx="54">
                  <c:v>5.2285259166063662</c:v>
                </c:pt>
                <c:pt idx="55">
                  <c:v>-0.37064671470906457</c:v>
                </c:pt>
                <c:pt idx="56">
                  <c:v>-4.772926691799384</c:v>
                </c:pt>
                <c:pt idx="57">
                  <c:v>7.4785806320630019</c:v>
                </c:pt>
                <c:pt idx="58">
                  <c:v>-6.2676583924331446</c:v>
                </c:pt>
                <c:pt idx="59">
                  <c:v>1.7136727958223117</c:v>
                </c:pt>
                <c:pt idx="60">
                  <c:v>3.8263066854109282</c:v>
                </c:pt>
                <c:pt idx="61">
                  <c:v>-7.4320009351741527</c:v>
                </c:pt>
                <c:pt idx="62">
                  <c:v>7.1599694812748513</c:v>
                </c:pt>
                <c:pt idx="63">
                  <c:v>-3.0908433772929467</c:v>
                </c:pt>
                <c:pt idx="64">
                  <c:v>-2.6804024167683771</c:v>
                </c:pt>
                <c:pt idx="65">
                  <c:v>7.1231018260496191</c:v>
                </c:pt>
                <c:pt idx="66">
                  <c:v>-7.8630509877187933</c:v>
                </c:pt>
                <c:pt idx="67">
                  <c:v>4.4513865612305787</c:v>
                </c:pt>
                <c:pt idx="68">
                  <c:v>1.3679826264826545</c:v>
                </c:pt>
                <c:pt idx="69">
                  <c:v>-6.5494952435767013</c:v>
                </c:pt>
                <c:pt idx="70">
                  <c:v>8.3403969372071902</c:v>
                </c:pt>
                <c:pt idx="71">
                  <c:v>-5.7434813478137627</c:v>
                </c:pt>
                <c:pt idx="72">
                  <c:v>7.0708193929448881E-2</c:v>
                </c:pt>
                <c:pt idx="73">
                  <c:v>5.7188178758663195</c:v>
                </c:pt>
                <c:pt idx="74">
                  <c:v>-8.5628553513217298</c:v>
                </c:pt>
                <c:pt idx="75">
                  <c:v>6.9161451086029189</c:v>
                </c:pt>
                <c:pt idx="76">
                  <c:v>-1.5892877263412657</c:v>
                </c:pt>
                <c:pt idx="77">
                  <c:v>-4.6486445520194559</c:v>
                </c:pt>
                <c:pt idx="78">
                  <c:v>8.5098431166814468</c:v>
                </c:pt>
                <c:pt idx="79">
                  <c:v>-7.9211198019334184</c:v>
                </c:pt>
                <c:pt idx="80">
                  <c:v>3.1368099234572235</c:v>
                </c:pt>
                <c:pt idx="81">
                  <c:v>3.3660501879190829</c:v>
                </c:pt>
                <c:pt idx="82">
                  <c:v>-8.1702770778129725</c:v>
                </c:pt>
                <c:pt idx="83">
                  <c:v>8.7146905452029841</c:v>
                </c:pt>
                <c:pt idx="84">
                  <c:v>-4.6595238436970536</c:v>
                </c:pt>
                <c:pt idx="85">
                  <c:v>-1.9068300479627009</c:v>
                </c:pt>
                <c:pt idx="86">
                  <c:v>7.5431843399539886</c:v>
                </c:pt>
                <c:pt idx="87">
                  <c:v>-9.2593719580777147</c:v>
                </c:pt>
                <c:pt idx="88">
                  <c:v>6.1027586373056071</c:v>
                </c:pt>
                <c:pt idx="89">
                  <c:v>0.31440040227272603</c:v>
                </c:pt>
                <c:pt idx="90">
                  <c:v>-6.6379657950833604</c:v>
                </c:pt>
                <c:pt idx="91">
                  <c:v>9.5254016739727252</c:v>
                </c:pt>
                <c:pt idx="92">
                  <c:v>-7.4128709802329045</c:v>
                </c:pt>
                <c:pt idx="93">
                  <c:v>1.3615868198653047</c:v>
                </c:pt>
                <c:pt idx="94">
                  <c:v>5.4742987810830872</c:v>
                </c:pt>
                <c:pt idx="95">
                  <c:v>-9.4919864791718371</c:v>
                </c:pt>
                <c:pt idx="96">
                  <c:v>8.5391883245993458</c:v>
                </c:pt>
                <c:pt idx="97">
                  <c:v>-3.0668714004792066</c:v>
                </c:pt>
                <c:pt idx="98">
                  <c:v>-4.0816771910445757</c:v>
                </c:pt>
                <c:pt idx="99">
                  <c:v>9.1482544969587529</c:v>
                </c:pt>
                <c:pt idx="100">
                  <c:v>-9.4358806906394435</c:v>
                </c:pt>
                <c:pt idx="101">
                  <c:v>4.7444013380067309</c:v>
                </c:pt>
                <c:pt idx="102">
                  <c:v>2.4985998749849556</c:v>
                </c:pt>
                <c:pt idx="103">
                  <c:v>-8.4938764371236175</c:v>
                </c:pt>
                <c:pt idx="104">
                  <c:v>10.063695389940504</c:v>
                </c:pt>
                <c:pt idx="105">
                  <c:v>-6.3362784493034194</c:v>
                </c:pt>
                <c:pt idx="106">
                  <c:v>-0.77143041253882416</c:v>
                </c:pt>
                <c:pt idx="107">
                  <c:v>7.5393298697223132</c:v>
                </c:pt>
                <c:pt idx="108">
                  <c:v>-10.391492995421594</c:v>
                </c:pt>
                <c:pt idx="109">
                  <c:v>7.7857678841650184</c:v>
                </c:pt>
                <c:pt idx="110">
                  <c:v>-1.0470371222559129</c:v>
                </c:pt>
                <c:pt idx="111">
                  <c:v>-6.3057923989169566</c:v>
                </c:pt>
                <c:pt idx="112">
                  <c:v>10.397528938685774</c:v>
                </c:pt>
                <c:pt idx="113">
                  <c:v>-9.0393034025530472</c:v>
                </c:pt>
                <c:pt idx="114">
                  <c:v>2.8992613215633303</c:v>
                </c:pt>
                <c:pt idx="115">
                  <c:v>4.8246621156533482</c:v>
                </c:pt>
                <c:pt idx="116">
                  <c:v>-10.070433128416685</c:v>
                </c:pt>
                <c:pt idx="117">
                  <c:v>10.048419591035934</c:v>
                </c:pt>
                <c:pt idx="118">
                  <c:v>-4.7248314224844199</c:v>
                </c:pt>
                <c:pt idx="119">
                  <c:v>-3.1367163818903627</c:v>
                </c:pt>
                <c:pt idx="120">
                  <c:v>9.4098496877067301</c:v>
                </c:pt>
                <c:pt idx="121">
                  <c:v>-10.771543849477286</c:v>
                </c:pt>
                <c:pt idx="122">
                  <c:v>6.4624787198522036</c:v>
                </c:pt>
                <c:pt idx="123">
                  <c:v>1.2909324207263302</c:v>
                </c:pt>
                <c:pt idx="124">
                  <c:v>-8.4267099896611182</c:v>
                </c:pt>
                <c:pt idx="125">
                  <c:v>11.175584922131915</c:v>
                </c:pt>
                <c:pt idx="126">
                  <c:v>-8.0521547560588012</c:v>
                </c:pt>
                <c:pt idx="127">
                  <c:v>0.65699506196862478</c:v>
                </c:pt>
                <c:pt idx="128">
                  <c:v>7.1431242679751925</c:v>
                </c:pt>
                <c:pt idx="129">
                  <c:v>-11.237260863605316</c:v>
                </c:pt>
                <c:pt idx="130">
                  <c:v>9.4371065532355498</c:v>
                </c:pt>
                <c:pt idx="131">
                  <c:v>-2.6463933163454794</c:v>
                </c:pt>
                <c:pt idx="132">
                  <c:v>-5.5918897952271891</c:v>
                </c:pt>
                <c:pt idx="133">
                  <c:v>10.944117431807816</c:v>
                </c:pt>
                <c:pt idx="134">
                  <c:v>-10.565878391016922</c:v>
                </c:pt>
                <c:pt idx="135">
                  <c:v>4.6135528920508646</c:v>
                </c:pt>
                <c:pt idx="136">
                  <c:v>3.8156265360708761</c:v>
                </c:pt>
                <c:pt idx="137">
                  <c:v>-10.295197732281336</c:v>
                </c:pt>
                <c:pt idx="138">
                  <c:v>11.394171230988468</c:v>
                </c:pt>
                <c:pt idx="139">
                  <c:v>-6.493808238438481</c:v>
                </c:pt>
                <c:pt idx="140">
                  <c:v>-1.8655638656248734</c:v>
                </c:pt>
                <c:pt idx="141">
                  <c:v>9.3013351873476093</c:v>
                </c:pt>
                <c:pt idx="142">
                  <c:v>-11.886494813328499</c:v>
                </c:pt>
                <c:pt idx="143">
                  <c:v>8.2236894418606035</c:v>
                </c:pt>
                <c:pt idx="144">
                  <c:v>-0.19998602981876196</c:v>
                </c:pt>
                <c:pt idx="145">
                  <c:v>-7.9850542065451231</c:v>
                </c:pt>
                <c:pt idx="146">
                  <c:v>12.017553591564148</c:v>
                </c:pt>
                <c:pt idx="147">
                  <c:v>-9.7430737290417113</c:v>
                </c:pt>
                <c:pt idx="148">
                  <c:v>2.3174214885288422</c:v>
                </c:pt>
                <c:pt idx="149">
                  <c:v>6.3800758914248403</c:v>
                </c:pt>
                <c:pt idx="150">
                  <c:v>-11.773315842935636</c:v>
                </c:pt>
                <c:pt idx="151">
                  <c:v>10.997264462603924</c:v>
                </c:pt>
                <c:pt idx="152">
                  <c:v>-4.4198553370247824</c:v>
                </c:pt>
                <c:pt idx="153">
                  <c:v>-4.5304392930928703</c:v>
                </c:pt>
                <c:pt idx="154">
                  <c:v>11.151725241385472</c:v>
                </c:pt>
                <c:pt idx="155">
                  <c:v>-11.938926851451704</c:v>
                </c:pt>
                <c:pt idx="156">
                  <c:v>6.4392656122770138</c:v>
                </c:pt>
                <c:pt idx="157">
                  <c:v>2.4892617191401203</c:v>
                </c:pt>
                <c:pt idx="158">
                  <c:v>-10.163025593684624</c:v>
                </c:pt>
                <c:pt idx="159">
                  <c:v>12.529813467433236</c:v>
                </c:pt>
                <c:pt idx="160">
                  <c:v>-8.3087234522116269</c:v>
                </c:pt>
                <c:pt idx="161">
                  <c:v>-0.31717392559734564</c:v>
                </c:pt>
                <c:pt idx="162">
                  <c:v>8.829681951957598</c:v>
                </c:pt>
                <c:pt idx="163">
                  <c:v>-12.742218794271912</c:v>
                </c:pt>
                <c:pt idx="164">
                  <c:v>9.9646250920034465</c:v>
                </c:pt>
                <c:pt idx="165">
                  <c:v>-1.9195226852049647</c:v>
                </c:pt>
                <c:pt idx="166">
                  <c:v>-7.1858945240209504</c:v>
                </c:pt>
                <c:pt idx="167">
                  <c:v>12.560110253640321</c:v>
                </c:pt>
                <c:pt idx="168">
                  <c:v>-11.348853816130525</c:v>
                </c:pt>
                <c:pt idx="169">
                  <c:v>4.1509198917706112</c:v>
                </c:pt>
                <c:pt idx="170">
                  <c:v>5.276715276450318</c:v>
                </c:pt>
                <c:pt idx="171">
                  <c:v>-11.979893204545069</c:v>
                </c:pt>
                <c:pt idx="172">
                  <c:v>12.410799071917211</c:v>
                </c:pt>
                <c:pt idx="173">
                  <c:v>-6.3057224641099632</c:v>
                </c:pt>
                <c:pt idx="174">
                  <c:v>-3.1567904219555238</c:v>
                </c:pt>
                <c:pt idx="175">
                  <c:v>11.010778981835236</c:v>
                </c:pt>
                <c:pt idx="176">
                  <c:v>-13.10916372806912</c:v>
                </c:pt>
                <c:pt idx="177">
                  <c:v>8.3135529033051156</c:v>
                </c:pt>
                <c:pt idx="178">
                  <c:v>0.88876466226424489</c:v>
                </c:pt>
                <c:pt idx="179">
                  <c:v>-9.6747377609213334</c:v>
                </c:pt>
                <c:pt idx="180">
                  <c:v>13.413496560631177</c:v>
                </c:pt>
                <c:pt idx="181">
                  <c:v>-10.107266319531984</c:v>
                </c:pt>
                <c:pt idx="182">
                  <c:v>1.4586053031543116</c:v>
                </c:pt>
                <c:pt idx="183">
                  <c:v>8.0060315011788639</c:v>
                </c:pt>
                <c:pt idx="184">
                  <c:v>-13.305395290548001</c:v>
                </c:pt>
                <c:pt idx="185">
                  <c:v>11.625199344503024</c:v>
                </c:pt>
                <c:pt idx="186">
                  <c:v>-3.8125702864575</c:v>
                </c:pt>
                <c:pt idx="187">
                  <c:v>-6.0503359946319755</c:v>
                </c:pt>
                <c:pt idx="188">
                  <c:v>12.779335631949822</c:v>
                </c:pt>
                <c:pt idx="189">
                  <c:v>-12.813278150252534</c:v>
                </c:pt>
                <c:pt idx="190">
                  <c:v>6.0986749999210925</c:v>
                </c:pt>
                <c:pt idx="191">
                  <c:v>3.8634746799762234</c:v>
                </c:pt>
                <c:pt idx="192">
                  <c:v>-11.843093524251865</c:v>
                </c:pt>
                <c:pt idx="193">
                  <c:v>13.626914297251092</c:v>
                </c:pt>
                <c:pt idx="194">
                  <c:v>-8.2431388383450077</c:v>
                </c:pt>
                <c:pt idx="195">
                  <c:v>-1.5097999265647437</c:v>
                </c:pt>
                <c:pt idx="196">
                  <c:v>10.517740645811521</c:v>
                </c:pt>
                <c:pt idx="197">
                  <c:v>-14.032623166208797</c:v>
                </c:pt>
                <c:pt idx="198">
                  <c:v>10.175254529106708</c:v>
                </c:pt>
                <c:pt idx="199">
                  <c:v>-0.93973048477660648</c:v>
                </c:pt>
                <c:pt idx="200">
                  <c:v>-8.8372070309834658</c:v>
                </c:pt>
                <c:pt idx="201">
                  <c:v>14.009307965742652</c:v>
                </c:pt>
                <c:pt idx="202">
                  <c:v>-11.829726543140092</c:v>
                </c:pt>
                <c:pt idx="203">
                  <c:v>3.4097233606584698</c:v>
                </c:pt>
                <c:pt idx="204">
                  <c:v>6.8474186951242046</c:v>
                </c:pt>
                <c:pt idx="205">
                  <c:v>-13.5491625049482</c:v>
                </c:pt>
                <c:pt idx="206">
                  <c:v>13.148872116180213</c:v>
                </c:pt>
                <c:pt idx="207">
                  <c:v>-5.8226994399294512</c:v>
                </c:pt>
                <c:pt idx="208">
                  <c:v>-4.6050321569542199</c:v>
                </c:pt>
                <c:pt idx="209">
                  <c:v>12.658157762606146</c:v>
                </c:pt>
                <c:pt idx="210">
                  <c:v>-14.084611216825033</c:v>
                </c:pt>
                <c:pt idx="211">
                  <c:v>8.1015482319628553</c:v>
                </c:pt>
                <c:pt idx="212">
                  <c:v>2.1758011772282169</c:v>
                </c:pt>
                <c:pt idx="213">
                  <c:v>-11.35609040331931</c:v>
                </c:pt>
                <c:pt idx="214">
                  <c:v>14.600177727600741</c:v>
                </c:pt>
                <c:pt idx="215">
                  <c:v>-10.172010109189838</c:v>
                </c:pt>
                <c:pt idx="216">
                  <c:v>0.36737653608550136</c:v>
                </c:pt>
                <c:pt idx="217">
                  <c:v>9.6761853708397911</c:v>
                </c:pt>
                <c:pt idx="218">
                  <c:v>-14.671492309028174</c:v>
                </c:pt>
                <c:pt idx="219">
                  <c:v>11.965105525866615</c:v>
                </c:pt>
                <c:pt idx="220">
                  <c:v>-2.9466738880654066</c:v>
                </c:pt>
                <c:pt idx="221">
                  <c:v>-7.6642590837361739</c:v>
                </c:pt>
                <c:pt idx="222">
                  <c:v>14.288147650518773</c:v>
                </c:pt>
                <c:pt idx="223">
                  <c:v>-13.419431931153508</c:v>
                </c:pt>
                <c:pt idx="224">
                  <c:v>5.4817422223465737</c:v>
                </c:pt>
                <c:pt idx="225">
                  <c:v>5.3774641047258314</c:v>
                </c:pt>
                <c:pt idx="226">
                  <c:v>-13.453968763591456</c:v>
                </c:pt>
                <c:pt idx="227">
                  <c:v>14.483252228655347</c:v>
                </c:pt>
                <c:pt idx="228">
                  <c:v>-7.8922372831645244</c:v>
                </c:pt>
                <c:pt idx="229">
                  <c:v>-2.8826499860194921</c:v>
                </c:pt>
                <c:pt idx="230">
                  <c:v>12.18712427185233</c:v>
                </c:pt>
                <c:pt idx="231">
                  <c:v>-15.116304426545575</c:v>
                </c:pt>
                <c:pt idx="232">
                  <c:v>10.100383413041905</c:v>
                </c:pt>
                <c:pt idx="233">
                  <c:v>0.25438785490382054</c:v>
                </c:pt>
                <c:pt idx="234">
                  <c:v>-10.519778880539215</c:v>
                </c:pt>
                <c:pt idx="235">
                  <c:v>15.291270259371505</c:v>
                </c:pt>
                <c:pt idx="236">
                  <c:v>-12.033493847514933</c:v>
                </c:pt>
                <c:pt idx="237">
                  <c:v>2.4272822297623304</c:v>
                </c:pt>
                <c:pt idx="238">
                  <c:v>8.4972919148310506</c:v>
                </c:pt>
                <c:pt idx="239">
                  <c:v>-14.994850805036082</c:v>
                </c:pt>
                <c:pt idx="240">
                  <c:v>13.626365363380522</c:v>
                </c:pt>
                <c:pt idx="241">
                  <c:v>-5.0793124338837297</c:v>
                </c:pt>
                <c:pt idx="242">
                  <c:v>-6.1769815291963122</c:v>
                </c:pt>
                <c:pt idx="243">
                  <c:v>14.228409157940288</c:v>
                </c:pt>
                <c:pt idx="244">
                  <c:v>-14.823468578332022</c:v>
                </c:pt>
                <c:pt idx="245">
                  <c:v>7.6182405275490011</c:v>
                </c:pt>
                <c:pt idx="246">
                  <c:v>3.6264884344629023</c:v>
                </c:pt>
                <c:pt idx="247">
                  <c:v>-13.008153680841691</c:v>
                </c:pt>
                <c:pt idx="248">
                  <c:v>15.580860815934111</c:v>
                </c:pt>
                <c:pt idx="249">
                  <c:v>-9.9628340018677868</c:v>
                </c:pt>
                <c:pt idx="250">
                  <c:v>-0.92178630015641616</c:v>
                </c:pt>
                <c:pt idx="251">
                  <c:v>11.364849823407448</c:v>
                </c:pt>
                <c:pt idx="252">
                  <c:v>-15.867756485312784</c:v>
                </c:pt>
                <c:pt idx="253">
                  <c:v>12.036700811319001</c:v>
                </c:pt>
                <c:pt idx="254">
                  <c:v>-1.8551020719690718</c:v>
                </c:pt>
                <c:pt idx="255">
                  <c:v>-9.343063507988024</c:v>
                </c:pt>
                <c:pt idx="256">
                  <c:v>15.66770014469269</c:v>
                </c:pt>
                <c:pt idx="257">
                  <c:v>-13.770782683015655</c:v>
                </c:pt>
                <c:pt idx="258">
                  <c:v>4.6186135396402248</c:v>
                </c:pt>
                <c:pt idx="259">
                  <c:v>6.9999541647700205</c:v>
                </c:pt>
                <c:pt idx="260">
                  <c:v>-14.979299514661133</c:v>
                </c:pt>
                <c:pt idx="261">
                  <c:v>15.105649692628081</c:v>
                </c:pt>
                <c:pt idx="262">
                  <c:v>-7.2823010618825252</c:v>
                </c:pt>
                <c:pt idx="263">
                  <c:v>-4.4036501639847616</c:v>
                </c:pt>
                <c:pt idx="264">
                  <c:v>13.816489310145975</c:v>
                </c:pt>
                <c:pt idx="265">
                  <c:v>-15.99352020802095</c:v>
                </c:pt>
                <c:pt idx="266">
                  <c:v>9.7615548205050029</c:v>
                </c:pt>
                <c:pt idx="267">
                  <c:v>1.6312531667500754</c:v>
                </c:pt>
                <c:pt idx="268">
                  <c:v>-12.208311447059653</c:v>
                </c:pt>
                <c:pt idx="269">
                  <c:v>16.399938198641003</c:v>
                </c:pt>
                <c:pt idx="270">
                  <c:v>-11.976301996934495</c:v>
                </c:pt>
                <c:pt idx="271">
                  <c:v>1.2334696532390264</c:v>
                </c:pt>
                <c:pt idx="272">
                  <c:v>10.198212489348489</c:v>
                </c:pt>
                <c:pt idx="273">
                  <c:v>-16.305050072490623</c:v>
                </c:pt>
                <c:pt idx="274">
                  <c:v>13.853598851972244</c:v>
                </c:pt>
                <c:pt idx="275">
                  <c:v>-4.1026358901485276</c:v>
                </c:pt>
                <c:pt idx="276">
                  <c:v>-7.8428746494509562</c:v>
                </c:pt>
                <c:pt idx="277">
                  <c:v>15.704435329232576</c:v>
                </c:pt>
                <c:pt idx="278">
                  <c:v>-15.330031190821238</c:v>
                </c:pt>
                <c:pt idx="279">
                  <c:v>6.886962501749414</c:v>
                </c:pt>
                <c:pt idx="280">
                  <c:v>5.210611745922173</c:v>
                </c:pt>
                <c:pt idx="281">
                  <c:v>-14.609459038176128</c:v>
                </c:pt>
                <c:pt idx="282">
                  <c:v>16.353844442424428</c:v>
                </c:pt>
                <c:pt idx="283">
                  <c:v>-9.4985603847193829</c:v>
                </c:pt>
                <c:pt idx="284">
                  <c:v>-2.3793757691310065</c:v>
                </c:pt>
                <c:pt idx="285">
                  <c:v>13.0471290396522</c:v>
                </c:pt>
                <c:pt idx="286">
                  <c:v>-16.886732302997082</c:v>
                </c:pt>
                <c:pt idx="287">
                  <c:v>11.853721075567965</c:v>
                </c:pt>
                <c:pt idx="288">
                  <c:v>-0.56556735489749821</c:v>
                </c:pt>
                <c:pt idx="289">
                  <c:v>-11.059456362353409</c:v>
                </c:pt>
                <c:pt idx="290">
                  <c:v>16.905222965898833</c:v>
                </c:pt>
                <c:pt idx="291">
                  <c:v>-13.87560697440216</c:v>
                </c:pt>
                <c:pt idx="292">
                  <c:v>3.5342230078691292</c:v>
                </c:pt>
                <c:pt idx="293">
                  <c:v>8.7023331558364259</c:v>
                </c:pt>
                <c:pt idx="294">
                  <c:v>-16.401614085204223</c:v>
                </c:pt>
                <c:pt idx="295">
                  <c:v>15.496758559901238</c:v>
                </c:pt>
                <c:pt idx="296">
                  <c:v>-6.4346352403795981</c:v>
                </c:pt>
                <c:pt idx="297">
                  <c:v>-6.0439579532732317</c:v>
                </c:pt>
                <c:pt idx="298">
                  <c:v>15.384421430412564</c:v>
                </c:pt>
                <c:pt idx="299">
                  <c:v>-16.661336916259899</c:v>
                </c:pt>
                <c:pt idx="300">
                  <c:v>9.1757506868070884</c:v>
                </c:pt>
                <c:pt idx="301">
                  <c:v>3.1628528066215491</c:v>
                </c:pt>
                <c:pt idx="302">
                  <c:v>-13.878321260291427</c:v>
                </c:pt>
                <c:pt idx="303">
                  <c:v>17.327027398088074</c:v>
                </c:pt>
                <c:pt idx="304">
                  <c:v>-11.670289452340718</c:v>
                </c:pt>
                <c:pt idx="305">
                  <c:v>-0.14553029705183543</c:v>
                </c:pt>
                <c:pt idx="306">
                  <c:v>11.923582306109283</c:v>
                </c:pt>
                <c:pt idx="307">
                  <c:v>-17.466540203871489</c:v>
                </c:pt>
                <c:pt idx="308">
                  <c:v>13.837532183047225</c:v>
                </c:pt>
                <c:pt idx="309">
                  <c:v>-2.9161198235205208</c:v>
                </c:pt>
                <c:pt idx="310">
                  <c:v>-9.5749994103239686</c:v>
                </c:pt>
                <c:pt idx="311">
                  <c:v>17.068655718235448</c:v>
                </c:pt>
                <c:pt idx="312">
                  <c:v>-15.605934198139819</c:v>
                </c:pt>
                <c:pt idx="313">
                  <c:v>5.9276449492743062</c:v>
                </c:pt>
                <c:pt idx="314">
                  <c:v>6.900356804486802</c:v>
                </c:pt>
                <c:pt idx="315">
                  <c:v>-16.138776353873446</c:v>
                </c:pt>
                <c:pt idx="316">
                  <c:v>16.915482081266148</c:v>
                </c:pt>
                <c:pt idx="317">
                  <c:v>-8.7949582562196458</c:v>
                </c:pt>
                <c:pt idx="318">
                  <c:v>-3.9784642200419729</c:v>
                </c:pt>
                <c:pt idx="319">
                  <c:v>14.698961850525032</c:v>
                </c:pt>
                <c:pt idx="320">
                  <c:v>-17.719715378534989</c:v>
                </c:pt>
                <c:pt idx="321">
                  <c:v>11.42729046664429</c:v>
                </c:pt>
                <c:pt idx="322">
                  <c:v>0.89682301743824266</c:v>
                </c:pt>
                <c:pt idx="323">
                  <c:v>-12.787441099514183</c:v>
                </c:pt>
                <c:pt idx="324">
                  <c:v>17.987345829263216</c:v>
                </c:pt>
                <c:pt idx="325">
                  <c:v>-13.740071849885696</c:v>
                </c:pt>
                <c:pt idx="326">
                  <c:v>2.2510081638141859</c:v>
                </c:pt>
                <c:pt idx="327">
                  <c:v>10.457610054258256</c:v>
                </c:pt>
                <c:pt idx="328">
                  <c:v>-17.703418574954636</c:v>
                </c:pt>
                <c:pt idx="329">
                  <c:v>15.657652793486744</c:v>
                </c:pt>
                <c:pt idx="330">
                  <c:v>-5.3682684955747559</c:v>
                </c:pt>
                <c:pt idx="331">
                  <c:v>-7.7765416394872009</c:v>
                </c:pt>
                <c:pt idx="332">
                  <c:v>16.869973691062487</c:v>
                </c:pt>
                <c:pt idx="333">
                  <c:v>-17.115775422548701</c:v>
                </c:pt>
                <c:pt idx="334">
                  <c:v>8.3579832431557151</c:v>
                </c:pt>
                <c:pt idx="335">
                  <c:v>4.8230492645776373</c:v>
                </c:pt>
                <c:pt idx="336">
                  <c:v>-15.506181741509561</c:v>
                </c:pt>
                <c:pt idx="337">
                  <c:v>18.063715701122725</c:v>
                </c:pt>
                <c:pt idx="338">
                  <c:v>-11.125992575438541</c:v>
                </c:pt>
                <c:pt idx="339">
                  <c:v>-1.6853600752299609</c:v>
                </c:pt>
                <c:pt idx="340">
                  <c:v>13.647943393856059</c:v>
                </c:pt>
                <c:pt idx="341">
                  <c:v>-18.466025023656435</c:v>
                </c:pt>
                <c:pt idx="342">
                  <c:v>13.583926007321027</c:v>
                </c:pt>
                <c:pt idx="343">
                  <c:v>-1.5415330281522497</c:v>
                </c:pt>
                <c:pt idx="344">
                  <c:v>-11.346959944546658</c:v>
                </c:pt>
                <c:pt idx="345">
                  <c:v>18.303812216505754</c:v>
                </c:pt>
                <c:pt idx="346">
                  <c:v>-15.652028326328526</c:v>
                </c:pt>
                <c:pt idx="347">
                  <c:v>4.7587607413524919</c:v>
                </c:pt>
                <c:pt idx="348">
                  <c:v>8.6692983608036549</c:v>
                </c:pt>
                <c:pt idx="349">
                  <c:v>-17.57552076405344</c:v>
                </c:pt>
                <c:pt idx="350">
                  <c:v>17.26174658525726</c:v>
                </c:pt>
                <c:pt idx="351">
                  <c:v>-7.8666197963887345</c:v>
                </c:pt>
                <c:pt idx="352">
                  <c:v>-5.6934906171967521</c:v>
                </c:pt>
                <c:pt idx="353">
                  <c:v>16.297171528589001</c:v>
                </c:pt>
                <c:pt idx="354">
                  <c:v>-18.357994364940932</c:v>
                </c:pt>
                <c:pt idx="355">
                  <c:v>10.767674503046218</c:v>
                </c:pt>
                <c:pt idx="356">
                  <c:v>2.5082221742134312</c:v>
                </c:pt>
                <c:pt idx="357">
                  <c:v>-14.502057773176137</c:v>
                </c:pt>
                <c:pt idx="358">
                  <c:v>18.901018841159058</c:v>
                </c:pt>
                <c:pt idx="359">
                  <c:v>-13.369820609016744</c:v>
                </c:pt>
                <c:pt idx="360">
                  <c:v>0.79032207368616181</c:v>
                </c:pt>
                <c:pt idx="361">
                  <c:v>12.239896408934806</c:v>
                </c:pt>
                <c:pt idx="362">
                  <c:v>-18.867807957237332</c:v>
                </c:pt>
                <c:pt idx="363">
                  <c:v>15.589214927704464</c:v>
                </c:pt>
                <c:pt idx="364">
                  <c:v>-4.1013746012704715</c:v>
                </c:pt>
                <c:pt idx="365">
                  <c:v>-9.5754565367740678</c:v>
                </c:pt>
                <c:pt idx="366">
                  <c:v>18.252988858430335</c:v>
                </c:pt>
                <c:pt idx="367">
                  <c:v>-17.352977461286379</c:v>
                </c:pt>
                <c:pt idx="368">
                  <c:v>7.3226759850768017</c:v>
                </c:pt>
                <c:pt idx="369">
                  <c:v>6.5867029975394971</c:v>
                </c:pt>
                <c:pt idx="370">
                  <c:v>-17.069184266693217</c:v>
                </c:pt>
                <c:pt idx="371">
                  <c:v>18.601578994684029</c:v>
                </c:pt>
                <c:pt idx="372">
                  <c:v>-10.353644415287913</c:v>
                </c:pt>
                <c:pt idx="373">
                  <c:v>-3.362508253851189</c:v>
                </c:pt>
                <c:pt idx="374">
                  <c:v>15.346810189746856</c:v>
                </c:pt>
                <c:pt idx="375">
                  <c:v>-19.290836182790812</c:v>
                </c:pt>
                <c:pt idx="376">
                  <c:v>13.098525447806333</c:v>
                </c:pt>
                <c:pt idx="377">
                  <c:v>-9.248308720408502E-12</c:v>
                </c:pt>
                <c:pt idx="378">
                  <c:v>-13.133315749305467</c:v>
                </c:pt>
                <c:pt idx="379">
                  <c:v>19.393447737434251</c:v>
                </c:pt>
                <c:pt idx="380">
                  <c:v>-15.469423138774721</c:v>
                </c:pt>
                <c:pt idx="381">
                  <c:v>3.3983760234365499</c:v>
                </c:pt>
                <c:pt idx="382">
                  <c:v>10.491883437804141</c:v>
                </c:pt>
                <c:pt idx="383">
                  <c:v>-18.900019098914832</c:v>
                </c:pt>
                <c:pt idx="384">
                  <c:v>17.389116492778264</c:v>
                </c:pt>
                <c:pt idx="385">
                  <c:v>-6.7279888443983324</c:v>
                </c:pt>
                <c:pt idx="386">
                  <c:v>-7.4996252193852495</c:v>
                </c:pt>
                <c:pt idx="387">
                  <c:v>17.819538534181781</c:v>
                </c:pt>
                <c:pt idx="388">
                  <c:v>-18.793570991144055</c:v>
                </c:pt>
                <c:pt idx="389">
                  <c:v>9.8852545658263882</c:v>
                </c:pt>
                <c:pt idx="390">
                  <c:v>4.2453260374289759</c:v>
                </c:pt>
                <c:pt idx="391">
                  <c:v>-16.179284465085146</c:v>
                </c:pt>
                <c:pt idx="392">
                  <c:v>19.634063689985311</c:v>
                </c:pt>
                <c:pt idx="393">
                  <c:v>-12.770868012160943</c:v>
                </c:pt>
                <c:pt idx="394">
                  <c:v>-0.82680096047519414</c:v>
                </c:pt>
                <c:pt idx="395">
                  <c:v>14.024161475853697</c:v>
                </c:pt>
                <c:pt idx="396">
                  <c:v>-19.878851739527338</c:v>
                </c:pt>
                <c:pt idx="397">
                  <c:v>15.292932662587573</c:v>
                </c:pt>
                <c:pt idx="398">
                  <c:v>-2.6520550824962421</c:v>
                </c:pt>
                <c:pt idx="399">
                  <c:v>-11.415480330446799</c:v>
                </c:pt>
                <c:pt idx="400">
                  <c:v>19.514327840767194</c:v>
                </c:pt>
                <c:pt idx="401">
                  <c:v>-17.369890080140809</c:v>
                </c:pt>
                <c:pt idx="402">
                  <c:v>6.0844356750151487</c:v>
                </c:pt>
                <c:pt idx="403">
                  <c:v>8.4292148872992207</c:v>
                </c:pt>
                <c:pt idx="404">
                  <c:v>-18.54562171280266</c:v>
                </c:pt>
                <c:pt idx="405">
                  <c:v>18.933155429134509</c:v>
                </c:pt>
                <c:pt idx="406">
                  <c:v>-9.3639124522671295</c:v>
                </c:pt>
                <c:pt idx="407">
                  <c:v>-5.1537854764631188</c:v>
                </c:pt>
                <c:pt idx="408">
                  <c:v>16.996623620585833</c:v>
                </c:pt>
                <c:pt idx="409">
                  <c:v>-19.929374033946246</c:v>
                </c:pt>
                <c:pt idx="410">
                  <c:v>12.387744200447868</c:v>
                </c:pt>
                <c:pt idx="411">
                  <c:v>1.6874335711595367</c:v>
                </c:pt>
                <c:pt idx="412">
                  <c:v>-14.909423886843456</c:v>
                </c:pt>
                <c:pt idx="413">
                  <c:v>20.32222503173389</c:v>
                </c:pt>
                <c:pt idx="414">
                  <c:v>-15.06010239177361</c:v>
                </c:pt>
                <c:pt idx="415">
                  <c:v>1.8647340491052993</c:v>
                </c:pt>
                <c:pt idx="416">
                  <c:v>12.343180529576934</c:v>
                </c:pt>
                <c:pt idx="417">
                  <c:v>-20.093711684175641</c:v>
                </c:pt>
                <c:pt idx="418">
                  <c:v>17.295111731972504</c:v>
                </c:pt>
                <c:pt idx="419">
                  <c:v>-5.3939424187009122</c:v>
                </c:pt>
                <c:pt idx="420">
                  <c:v>-9.3724451584564399</c:v>
                </c:pt>
                <c:pt idx="421">
                  <c:v>19.244893434492731</c:v>
                </c:pt>
                <c:pt idx="422">
                  <c:v>-19.019609190362363</c:v>
                </c:pt>
                <c:pt idx="423">
                  <c:v>8.7910892377552976</c:v>
                </c:pt>
                <c:pt idx="424">
                  <c:v>6.0849944636639384</c:v>
                </c:pt>
                <c:pt idx="425">
                  <c:v>-17.796031854699255</c:v>
                </c:pt>
                <c:pt idx="426">
                  <c:v>20.175532940669171</c:v>
                </c:pt>
                <c:pt idx="427">
                  <c:v>-11.950126563397925</c:v>
                </c:pt>
                <c:pt idx="428">
                  <c:v>-2.5792304926071061</c:v>
                </c:pt>
                <c:pt idx="429">
                  <c:v>15.786140701904586</c:v>
                </c:pt>
                <c:pt idx="430">
                  <c:v>-20.721863438364288</c:v>
                </c:pt>
                <c:pt idx="431">
                  <c:v>14.771378283529952</c:v>
                </c:pt>
                <c:pt idx="432">
                  <c:v>-1.0387730738196661</c:v>
                </c:pt>
                <c:pt idx="433">
                  <c:v>-13.271948832755941</c:v>
                </c:pt>
                <c:pt idx="434">
                  <c:v>20.636052181478497</c:v>
                </c:pt>
                <c:pt idx="435">
                  <c:v>-17.164689421367651</c:v>
                </c:pt>
                <c:pt idx="436">
                  <c:v>4.6584897179919196</c:v>
                </c:pt>
                <c:pt idx="437">
                  <c:v>10.326303134713033</c:v>
                </c:pt>
                <c:pt idx="438">
                  <c:v>-19.914889149637141</c:v>
                </c:pt>
                <c:pt idx="439">
                  <c:v>19.0523076855848</c:v>
                </c:pt>
                <c:pt idx="440">
                  <c:v>-8.1683259971303954</c:v>
                </c:pt>
                <c:pt idx="441">
                  <c:v>-7.0360563440047539</c:v>
                </c:pt>
                <c:pt idx="442">
                  <c:v>18.574777022751412</c:v>
                </c:pt>
                <c:pt idx="443">
                  <c:v>-20.371405196960698</c:v>
                </c:pt>
                <c:pt idx="444">
                  <c:v>11.459070570645492</c:v>
                </c:pt>
                <c:pt idx="445">
                  <c:v>3.4995010726817277</c:v>
                </c:pt>
                <c:pt idx="446">
                  <c:v>-16.651398524081376</c:v>
                </c:pt>
                <c:pt idx="447">
                  <c:v>21.076158777962409</c:v>
                </c:pt>
                <c:pt idx="448">
                  <c:v>-14.427299504632993</c:v>
                </c:pt>
                <c:pt idx="449">
                  <c:v>0.17657396394130373</c:v>
                </c:pt>
                <c:pt idx="450">
                  <c:v>14.198782049726848</c:v>
                </c:pt>
                <c:pt idx="451">
                  <c:v>-21.139320282103355</c:v>
                </c:pt>
                <c:pt idx="452">
                  <c:v>16.978631491695346</c:v>
                </c:pt>
                <c:pt idx="453">
                  <c:v>-3.8801171155882064</c:v>
                </c:pt>
                <c:pt idx="454">
                  <c:v>-11.287789553675493</c:v>
                </c:pt>
                <c:pt idx="455">
                  <c:v>20.553223775797559</c:v>
                </c:pt>
                <c:pt idx="456">
                  <c:v>-19.030730426917557</c:v>
                </c:pt>
                <c:pt idx="457">
                  <c:v>7.4972382070313115</c:v>
                </c:pt>
                <c:pt idx="458">
                  <c:v>8.0040688659956061</c:v>
                </c:pt>
                <c:pt idx="459">
                  <c:v>-19.330193504464919</c:v>
                </c:pt>
                <c:pt idx="460">
                  <c:v>20.515959816626111</c:v>
                </c:pt>
                <c:pt idx="461">
                  <c:v>-10.915719273389508</c:v>
                </c:pt>
                <c:pt idx="462">
                  <c:v>-4.4455296571766292</c:v>
                </c:pt>
                <c:pt idx="463">
                  <c:v>17.502334955105859</c:v>
                </c:pt>
                <c:pt idx="464">
                  <c:v>-21.383603570093399</c:v>
                </c:pt>
                <c:pt idx="465">
                  <c:v>14.028503163262117</c:v>
                </c:pt>
                <c:pt idx="466">
                  <c:v>0.71941758305012271</c:v>
                </c:pt>
                <c:pt idx="467">
                  <c:v>-15.120710404289483</c:v>
                </c:pt>
                <c:pt idx="468">
                  <c:v>21.601580543425314</c:v>
                </c:pt>
                <c:pt idx="469">
                  <c:v>-16.737051368653031</c:v>
                </c:pt>
                <c:pt idx="470">
                  <c:v>3.0609257401794236</c:v>
                </c:pt>
                <c:pt idx="471">
                  <c:v>12.253919522787445</c:v>
                </c:pt>
                <c:pt idx="472">
                  <c:v>-21.157595390033734</c:v>
                </c:pt>
                <c:pt idx="473">
                  <c:v>18.954465644654352</c:v>
                </c:pt>
                <c:pt idx="474">
                  <c:v>-6.7795187986397121</c:v>
                </c:pt>
                <c:pt idx="475">
                  <c:v>-8.9861242971610515</c:v>
                </c:pt>
                <c:pt idx="476">
                  <c:v>20.059685366263206</c:v>
                </c:pt>
                <c:pt idx="477">
                  <c:v>-20.60827449900286</c:v>
                </c:pt>
                <c:pt idx="478">
                  <c:v>10.321306645941199</c:v>
                </c:pt>
                <c:pt idx="479">
                  <c:v>5.4145751373046673</c:v>
                </c:pt>
                <c:pt idx="480">
                  <c:v>-18.336141224621787</c:v>
                </c:pt>
                <c:pt idx="481">
                  <c:v>21.642795283178291</c:v>
                </c:pt>
                <c:pt idx="482">
                  <c:v>-13.575727868238465</c:v>
                </c:pt>
                <c:pt idx="483">
                  <c:v>-1.6467110093070265</c:v>
                </c:pt>
                <c:pt idx="484">
                  <c:v>16.034799633622782</c:v>
                </c:pt>
                <c:pt idx="485">
                  <c:v>-22.020995124358645</c:v>
                </c:pt>
                <c:pt idx="486">
                  <c:v>16.440171272858773</c:v>
                </c:pt>
                <c:pt idx="487">
                  <c:v>-2.2030797454664266</c:v>
                </c:pt>
                <c:pt idx="488">
                  <c:v>-13.221724095965916</c:v>
                </c:pt>
                <c:pt idx="489">
                  <c:v>21.72578893172405</c:v>
                </c:pt>
                <c:pt idx="490">
                  <c:v>-18.823214094957063</c:v>
                </c:pt>
                <c:pt idx="491">
                  <c:v>6.0169400186743962</c:v>
                </c:pt>
                <c:pt idx="492">
                  <c:v>9.9793104880065506</c:v>
                </c:pt>
                <c:pt idx="493">
                  <c:v>-20.760729742087342</c:v>
                </c:pt>
                <c:pt idx="494">
                  <c:v>20.647539478234755</c:v>
                </c:pt>
                <c:pt idx="495">
                  <c:v>-9.677159823573124</c:v>
                </c:pt>
                <c:pt idx="496">
                  <c:v>-6.4038715125410075</c:v>
                </c:pt>
                <c:pt idx="497">
                  <c:v>19.150065221638826</c:v>
                </c:pt>
                <c:pt idx="498">
                  <c:v>-21.852440175563743</c:v>
                </c:pt>
                <c:pt idx="499">
                  <c:v>13.069816300305197</c:v>
                </c:pt>
                <c:pt idx="500">
                  <c:v>2.6027709709248743</c:v>
                </c:pt>
                <c:pt idx="501">
                  <c:v>-16.938153645557676</c:v>
                </c:pt>
                <c:pt idx="502">
                  <c:v>22.395827570794619</c:v>
                </c:pt>
                <c:pt idx="503">
                  <c:v>-16.088325081871499</c:v>
                </c:pt>
                <c:pt idx="504">
                  <c:v>1.3088067107478063</c:v>
                </c:pt>
                <c:pt idx="505">
                  <c:v>14.188252533834159</c:v>
                </c:pt>
                <c:pt idx="506">
                  <c:v>-22.255679886240973</c:v>
                </c:pt>
                <c:pt idx="507">
                  <c:v>18.636792169765997</c:v>
                </c:pt>
                <c:pt idx="508">
                  <c:v>-5.2113542899158976</c:v>
                </c:pt>
                <c:pt idx="509">
                  <c:v>-10.980712713626241</c:v>
                </c:pt>
                <c:pt idx="510">
                  <c:v>21.430880369573742</c:v>
                </c:pt>
                <c:pt idx="511">
                  <c:v>-20.633060837248234</c:v>
                </c:pt>
                <c:pt idx="512">
                  <c:v>8.9847004061235101</c:v>
                </c:pt>
                <c:pt idx="513">
                  <c:v>7.4106292935431766</c:v>
                </c:pt>
                <c:pt idx="514">
                  <c:v>-19.941414837204491</c:v>
                </c:pt>
                <c:pt idx="515">
                  <c:v>22.011356767532899</c:v>
                </c:pt>
                <c:pt idx="516">
                  <c:v>-12.511716938990876</c:v>
                </c:pt>
                <c:pt idx="517">
                  <c:v>-3.5850182839503901</c:v>
                </c:pt>
                <c:pt idx="518">
                  <c:v>17.827917621318768</c:v>
                </c:pt>
                <c:pt idx="519">
                  <c:v>-22.724446396772116</c:v>
                </c:pt>
                <c:pt idx="520">
                  <c:v>15.681960456787751</c:v>
                </c:pt>
                <c:pt idx="521">
                  <c:v>-0.38039716741572038</c:v>
                </c:pt>
                <c:pt idx="522">
                  <c:v>-15.150575119544623</c:v>
                </c:pt>
                <c:pt idx="523">
                  <c:v>22.745237922874313</c:v>
                </c:pt>
                <c:pt idx="524">
                  <c:v>-18.395134394642955</c:v>
                </c:pt>
                <c:pt idx="525">
                  <c:v>4.3646942221712424</c:v>
                </c:pt>
                <c:pt idx="526">
                  <c:v>11.987416155877224</c:v>
                </c:pt>
                <c:pt idx="527">
                  <c:v>-22.067771228506171</c:v>
                </c:pt>
                <c:pt idx="528">
                  <c:v>20.564263342336194</c:v>
                </c:pt>
                <c:pt idx="529">
                  <c:v>-8.2454449606073847</c:v>
                </c:pt>
                <c:pt idx="530">
                  <c:v>-8.4320376048019767</c:v>
                </c:pt>
                <c:pt idx="531">
                  <c:v>20.707561543387762</c:v>
                </c:pt>
                <c:pt idx="532">
                  <c:v>-22.118478971480311</c:v>
                </c:pt>
                <c:pt idx="533">
                  <c:v>11.902485057913591</c:v>
                </c:pt>
                <c:pt idx="534">
                  <c:v>4.5908316038787822</c:v>
                </c:pt>
                <c:pt idx="535">
                  <c:v>-18.701281471615335</c:v>
                </c:pt>
                <c:pt idx="536">
                  <c:v>23.005328461713273</c:v>
                </c:pt>
                <c:pt idx="537">
                  <c:v>-15.221640323624001</c:v>
                </c:pt>
                <c:pt idx="538">
                  <c:v>-0.57979661727703591</c:v>
                </c:pt>
                <c:pt idx="539">
                  <c:v>16.105786426203075</c:v>
                </c:pt>
                <c:pt idx="540">
                  <c:v>-23.192530463053362</c:v>
                </c:pt>
                <c:pt idx="541">
                  <c:v>18.09829538097566</c:v>
                </c:pt>
                <c:pt idx="542">
                  <c:v>-3.478971894250511</c:v>
                </c:pt>
                <c:pt idx="543">
                  <c:v>-12.996508914906869</c:v>
                </c:pt>
                <c:pt idx="544">
                  <c:v>22.669120236483227</c:v>
                </c:pt>
                <c:pt idx="545">
                  <c:v>-20.440692841075997</c:v>
                </c:pt>
                <c:pt idx="546">
                  <c:v>7.4610048292811149</c:v>
                </c:pt>
                <c:pt idx="547">
                  <c:v>9.4652668734109771</c:v>
                </c:pt>
                <c:pt idx="548">
                  <c:v>-21.445944145970408</c:v>
                </c:pt>
                <c:pt idx="549">
                  <c:v>22.172858899850784</c:v>
                </c:pt>
                <c:pt idx="550">
                  <c:v>-11.243283078150272</c:v>
                </c:pt>
                <c:pt idx="551">
                  <c:v>-5.6175497267309735</c:v>
                </c:pt>
                <c:pt idx="552">
                  <c:v>19.555483570058495</c:v>
                </c:pt>
                <c:pt idx="553">
                  <c:v>-23.237062141711945</c:v>
                </c:pt>
                <c:pt idx="554">
                  <c:v>14.708043780898812</c:v>
                </c:pt>
                <c:pt idx="555">
                  <c:v>1.5693624927817309</c:v>
                </c:pt>
                <c:pt idx="556">
                  <c:v>-17.051008950113136</c:v>
                </c:pt>
                <c:pt idx="557">
                  <c:v>23.595726157271265</c:v>
                </c:pt>
                <c:pt idx="558">
                  <c:v>-17.746451284716763</c:v>
                </c:pt>
                <c:pt idx="559">
                  <c:v>2.5562775043184476</c:v>
                </c:pt>
                <c:pt idx="560">
                  <c:v>14.005085458634856</c:v>
                </c:pt>
                <c:pt idx="561">
                  <c:v>-23.232732963212797</c:v>
                </c:pt>
                <c:pt idx="562">
                  <c:v>20.262018256418539</c:v>
                </c:pt>
                <c:pt idx="563">
                  <c:v>-6.6330853289651772</c:v>
                </c:pt>
                <c:pt idx="564">
                  <c:v>-10.5074720104412</c:v>
                </c:pt>
                <c:pt idx="565">
                  <c:v>22.154072658168868</c:v>
                </c:pt>
                <c:pt idx="566">
                  <c:v>-22.173669364941123</c:v>
                </c:pt>
                <c:pt idx="567">
                  <c:v>10.535380351824063</c:v>
                </c:pt>
                <c:pt idx="568">
                  <c:v>6.662474419812451</c:v>
                </c:pt>
                <c:pt idx="569">
                  <c:v>-20.387814700145011</c:v>
                </c:pt>
                <c:pt idx="570">
                  <c:v>23.418350291324092</c:v>
                </c:pt>
                <c:pt idx="571">
                  <c:v>-14.141966490372491</c:v>
                </c:pt>
                <c:pt idx="572">
                  <c:v>-2.5858308271854309</c:v>
                </c:pt>
                <c:pt idx="573">
                  <c:v>17.983397038341117</c:v>
                </c:pt>
                <c:pt idx="574">
                  <c:v>-23.953098251201542</c:v>
                </c:pt>
                <c:pt idx="575">
                  <c:v>17.339900813073125</c:v>
                </c:pt>
                <c:pt idx="576">
                  <c:v>-1.5987774682524711</c:v>
                </c:pt>
                <c:pt idx="577">
                  <c:v>-15.01025043404171</c:v>
                </c:pt>
                <c:pt idx="578">
                  <c:v>23.756506329997872</c:v>
                </c:pt>
                <c:pt idx="579">
                  <c:v>-20.028033202439008</c:v>
                </c:pt>
                <c:pt idx="580">
                  <c:v>5.7634844114265826</c:v>
                </c:pt>
                <c:pt idx="581">
                  <c:v>11.555796007488174</c:v>
                </c:pt>
                <c:pt idx="582">
                  <c:v>-22.829532250446498</c:v>
                </c:pt>
                <c:pt idx="583">
                  <c:v>22.120206080591959</c:v>
                </c:pt>
                <c:pt idx="584">
                  <c:v>-9.7801524346274178</c:v>
                </c:pt>
                <c:pt idx="585">
                  <c:v>-7.7228737061332753</c:v>
                </c:pt>
                <c:pt idx="586">
                  <c:v>21.195622161795789</c:v>
                </c:pt>
                <c:pt idx="587">
                  <c:v>-23.54801299137667</c:v>
                </c:pt>
                <c:pt idx="588">
                  <c:v>13.524320597363324</c:v>
                </c:pt>
                <c:pt idx="589">
                  <c:v>3.6266773863339363</c:v>
                </c:pt>
                <c:pt idx="590">
                  <c:v>-18.900141050285004</c:v>
                </c:pt>
                <c:pt idx="591">
                  <c:v>24.263027823340444</c:v>
                </c:pt>
                <c:pt idx="592">
                  <c:v>-16.879065812302041</c:v>
                </c:pt>
                <c:pt idx="593">
                  <c:v>0.6087120317817627</c:v>
                </c:pt>
                <c:pt idx="594">
                  <c:v>16.009122776302664</c:v>
                </c:pt>
                <c:pt idx="595">
                  <c:v>-24.238432265233921</c:v>
                </c:pt>
                <c:pt idx="596">
                  <c:v>19.738657241778036</c:v>
                </c:pt>
                <c:pt idx="597">
                  <c:v>-4.8540908429621794</c:v>
                </c:pt>
                <c:pt idx="598">
                  <c:v>-12.607373883179665</c:v>
                </c:pt>
                <c:pt idx="599">
                  <c:v>23.469987237538209</c:v>
                </c:pt>
                <c:pt idx="600">
                  <c:v>-22.011889572895864</c:v>
                </c:pt>
                <c:pt idx="601">
                  <c:v>8.9790798956814655</c:v>
                </c:pt>
                <c:pt idx="602">
                  <c:v>8.7959855385994068</c:v>
                </c:pt>
                <c:pt idx="603">
                  <c:v>-21.976313991284798</c:v>
                </c:pt>
                <c:pt idx="604">
                  <c:v>23.624990077785327</c:v>
                </c:pt>
                <c:pt idx="605">
                  <c:v>-12.856134218657781</c:v>
                </c:pt>
                <c:pt idx="606">
                  <c:v>-4.6893266296080265</c:v>
                </c:pt>
                <c:pt idx="607">
                  <c:v>19.798471701728936</c:v>
                </c:pt>
                <c:pt idx="608">
                  <c:v>-24.524006878123533</c:v>
                </c:pt>
                <c:pt idx="609">
                  <c:v>16.364491463616989</c:v>
                </c:pt>
                <c:pt idx="610">
                  <c:v>0.41160754798490706</c:v>
                </c:pt>
                <c:pt idx="611">
                  <c:v>-16.998840061212668</c:v>
                </c:pt>
                <c:pt idx="612">
                  <c:v>24.676601290240594</c:v>
                </c:pt>
                <c:pt idx="613">
                  <c:v>-19.393936800563505</c:v>
                </c:pt>
                <c:pt idx="614">
                  <c:v>3.906881951464241</c:v>
                </c:pt>
                <c:pt idx="615">
                  <c:v>13.659336924203489</c:v>
                </c:pt>
                <c:pt idx="616">
                  <c:v>-24.073185069108678</c:v>
                </c:pt>
                <c:pt idx="617">
                  <c:v>21.848266804937733</c:v>
                </c:pt>
                <c:pt idx="618">
                  <c:v>-8.1337467052453096</c:v>
                </c:pt>
                <c:pt idx="619">
                  <c:v>-9.8790218094482398</c:v>
                </c:pt>
                <c:pt idx="620">
                  <c:v>22.727363254565102</c:v>
                </c:pt>
                <c:pt idx="621">
                  <c:v>-23.648343446146999</c:v>
                </c:pt>
                <c:pt idx="622">
                  <c:v>12.138550529342625</c:v>
                </c:pt>
                <c:pt idx="623">
                  <c:v>5.7711553709106598</c:v>
                </c:pt>
                <c:pt idx="624">
                  <c:v>-20.675664547129621</c:v>
                </c:pt>
                <c:pt idx="625">
                  <c:v>24.734641279950367</c:v>
                </c:pt>
                <c:pt idx="626">
                  <c:v>-15.796846109452053</c:v>
                </c:pt>
                <c:pt idx="627">
                  <c:v>-1.4598022050049166</c:v>
                </c:pt>
                <c:pt idx="628">
                  <c:v>17.9765630539409</c:v>
                </c:pt>
                <c:pt idx="629">
                  <c:v>-25.069206012678677</c:v>
                </c:pt>
                <c:pt idx="630">
                  <c:v>18.994045753671358</c:v>
                </c:pt>
                <c:pt idx="631">
                  <c:v>-2.923920982145078</c:v>
                </c:pt>
                <c:pt idx="632">
                  <c:v>-14.708817173142549</c:v>
                </c:pt>
                <c:pt idx="633">
                  <c:v>24.636960294425624</c:v>
                </c:pt>
                <c:pt idx="634">
                  <c:v>-21.629012519096889</c:v>
                </c:pt>
                <c:pt idx="635">
                  <c:v>7.2458382343105381</c:v>
                </c:pt>
                <c:pt idx="636">
                  <c:v>10.969172648309591</c:v>
                </c:pt>
                <c:pt idx="637">
                  <c:v>-23.446312379073881</c:v>
                </c:pt>
                <c:pt idx="638">
                  <c:v>23.617259126893796</c:v>
                </c:pt>
                <c:pt idx="639">
                  <c:v>-11.372826475520265</c:v>
                </c:pt>
                <c:pt idx="640">
                  <c:v>-6.8694967606061805</c:v>
                </c:pt>
                <c:pt idx="641">
                  <c:v>21.529044561195942</c:v>
                </c:pt>
                <c:pt idx="642">
                  <c:v>-24.893653514895941</c:v>
                </c:pt>
                <c:pt idx="643">
                  <c:v>15.176920728721157</c:v>
                </c:pt>
                <c:pt idx="644">
                  <c:v>2.5334286102832064</c:v>
                </c:pt>
                <c:pt idx="645">
                  <c:v>-18.93948041321466</c:v>
                </c:pt>
                <c:pt idx="646">
                  <c:v>25.414544507277665</c:v>
                </c:pt>
                <c:pt idx="647">
                  <c:v>-18.539285690885482</c:v>
                </c:pt>
                <c:pt idx="648">
                  <c:v>1.9073540972686731</c:v>
                </c:pt>
                <c:pt idx="649">
                  <c:v>15.752952121504764</c:v>
                </c:pt>
                <c:pt idx="650">
                  <c:v>-25.15923847484569</c:v>
                </c:pt>
                <c:pt idx="651">
                  <c:v>21.353930299415993</c:v>
                </c:pt>
                <c:pt idx="652">
                  <c:v>-6.3171388958760799</c:v>
                </c:pt>
                <c:pt idx="653">
                  <c:v>-12.063610968104948</c:v>
                </c:pt>
                <c:pt idx="654">
                  <c:v>24.130777493229857</c:v>
                </c:pt>
                <c:pt idx="655">
                  <c:v>-23.5310491258805</c:v>
                </c:pt>
                <c:pt idx="656">
                  <c:v>10.560331135594032</c:v>
                </c:pt>
                <c:pt idx="657">
                  <c:v>7.9816445498679895</c:v>
                </c:pt>
                <c:pt idx="658">
                  <c:v>-22.355990785896243</c:v>
                </c:pt>
                <c:pt idx="659">
                  <c:v>24.99988526803623</c:v>
                </c:pt>
                <c:pt idx="660">
                  <c:v>-14.505628077038175</c:v>
                </c:pt>
                <c:pt idx="661">
                  <c:v>-3.6299830260467516</c:v>
                </c:pt>
                <c:pt idx="662">
                  <c:v>19.884813514938678</c:v>
                </c:pt>
                <c:pt idx="663">
                  <c:v>-25.711023565714914</c:v>
                </c:pt>
                <c:pt idx="664">
                  <c:v>18.030085872556985</c:v>
                </c:pt>
                <c:pt idx="665">
                  <c:v>-0.85940705071889867</c:v>
                </c:pt>
                <c:pt idx="666">
                  <c:v>-16.78888957156763</c:v>
                </c:pt>
                <c:pt idx="667">
                  <c:v>25.638040020863219</c:v>
                </c:pt>
                <c:pt idx="668">
                  <c:v>-21.022953355861997</c:v>
                </c:pt>
                <c:pt idx="669">
                  <c:v>5.3495294531951325</c:v>
                </c:pt>
                <c:pt idx="670">
                  <c:v>13.159497222918768</c:v>
                </c:pt>
                <c:pt idx="671">
                  <c:v>-24.778452746253276</c:v>
                </c:pt>
                <c:pt idx="672">
                  <c:v>23.389153025628282</c:v>
                </c:pt>
                <c:pt idx="673">
                  <c:v>-9.7025437500334135</c:v>
                </c:pt>
                <c:pt idx="674">
                  <c:v>-9.1048576033583668</c:v>
                </c:pt>
                <c:pt idx="675">
                  <c:v>23.153941012565731</c:v>
                </c:pt>
                <c:pt idx="676">
                  <c:v>-25.05229980550628</c:v>
                </c:pt>
                <c:pt idx="677">
                  <c:v>13.784001505526716</c:v>
                </c:pt>
                <c:pt idx="678">
                  <c:v>4.746905437184032</c:v>
                </c:pt>
                <c:pt idx="679">
                  <c:v>-20.809821363262817</c:v>
                </c:pt>
                <c:pt idx="680">
                  <c:v>25.95716179931636</c:v>
                </c:pt>
                <c:pt idx="681">
                  <c:v>-17.467002882589153</c:v>
                </c:pt>
                <c:pt idx="682">
                  <c:v>-0.21761843534097508</c:v>
                </c:pt>
                <c:pt idx="683">
                  <c:v>17.81379263418102</c:v>
                </c:pt>
                <c:pt idx="684">
                  <c:v>-26.071483932776758</c:v>
                </c:pt>
                <c:pt idx="685">
                  <c:v>20.636145031954605</c:v>
                </c:pt>
                <c:pt idx="686">
                  <c:v>-4.3449840180012274</c:v>
                </c:pt>
                <c:pt idx="687">
                  <c:v>-14.253984345879633</c:v>
                </c:pt>
                <c:pt idx="688">
                  <c:v>25.387114583790687</c:v>
                </c:pt>
                <c:pt idx="689">
                  <c:v>-23.191139342819</c:v>
                </c:pt>
                <c:pt idx="690">
                  <c:v>8.8010514374909992</c:v>
                </c:pt>
                <c:pt idx="691">
                  <c:v>10.236364630133099</c:v>
                </c:pt>
                <c:pt idx="692">
                  <c:v>-23.920396471901714</c:v>
                </c:pt>
                <c:pt idx="693">
                  <c:v>25.049984151372236</c:v>
                </c:pt>
                <c:pt idx="694">
                  <c:v>-13.013193470792958</c:v>
                </c:pt>
                <c:pt idx="695">
                  <c:v>-5.8815839321813321</c:v>
                </c:pt>
                <c:pt idx="696">
                  <c:v>21.711805560342953</c:v>
                </c:pt>
                <c:pt idx="697">
                  <c:v>-26.151592579858352</c:v>
                </c:pt>
                <c:pt idx="698">
                  <c:v>16.850719985323011</c:v>
                </c:pt>
                <c:pt idx="699">
                  <c:v>1.3213485672930076</c:v>
                </c:pt>
                <c:pt idx="700">
                  <c:v>-18.824844833548806</c:v>
                </c:pt>
                <c:pt idx="701">
                  <c:v>26.457791426181714</c:v>
                </c:pt>
                <c:pt idx="702">
                  <c:v>-20.193699036847509</c:v>
                </c:pt>
                <c:pt idx="703">
                  <c:v>3.3055667588961462</c:v>
                </c:pt>
                <c:pt idx="704">
                  <c:v>15.344222838260299</c:v>
                </c:pt>
                <c:pt idx="705">
                  <c:v>-25.954625957234999</c:v>
                </c:pt>
                <c:pt idx="706">
                  <c:v>22.936706637817025</c:v>
                </c:pt>
                <c:pt idx="707">
                  <c:v>-7.8575466128165754</c:v>
                </c:pt>
                <c:pt idx="708">
                  <c:v>-11.373369105009157</c:v>
                </c:pt>
                <c:pt idx="709">
                  <c:v>24.652926507463413</c:v>
                </c:pt>
                <c:pt idx="710">
                  <c:v>-24.992151050390913</c:v>
                </c:pt>
                <c:pt idx="711">
                  <c:v>12.194473746911209</c:v>
                </c:pt>
                <c:pt idx="712">
                  <c:v>7.0313593081758379</c:v>
                </c:pt>
                <c:pt idx="713">
                  <c:v>-22.588115308967321</c:v>
                </c:pt>
                <c:pt idx="714">
                  <c:v>26.293066805150982</c:v>
                </c:pt>
                <c:pt idx="715">
                  <c:v>-16.182046192498021</c:v>
                </c:pt>
                <c:pt idx="716">
                  <c:v>-2.4493416282069718</c:v>
                </c:pt>
                <c:pt idx="717">
                  <c:v>19.81925529245903</c:v>
                </c:pt>
                <c:pt idx="718">
                  <c:v>-26.79528942522694</c:v>
                </c:pt>
                <c:pt idx="719">
                  <c:v>19.695939403282313</c:v>
                </c:pt>
                <c:pt idx="720">
                  <c:v>-2.2334283386654357</c:v>
                </c:pt>
                <c:pt idx="721">
                  <c:v>-16.42736598368764</c:v>
                </c:pt>
                <c:pt idx="722">
                  <c:v>26.478940446662289</c:v>
                </c:pt>
                <c:pt idx="723">
                  <c:v>-22.625684372911163</c:v>
                </c:pt>
                <c:pt idx="724">
                  <c:v>6.8738241219267637</c:v>
                </c:pt>
                <c:pt idx="725">
                  <c:v>12.513054355721151</c:v>
                </c:pt>
                <c:pt idx="726">
                  <c:v>-25.349173210245343</c:v>
                </c:pt>
                <c:pt idx="727">
                  <c:v>24.87814070862342</c:v>
                </c:pt>
                <c:pt idx="728">
                  <c:v>-11.32922734964108</c:v>
                </c:pt>
                <c:pt idx="729">
                  <c:v>-8.193529877508082</c:v>
                </c:pt>
                <c:pt idx="730">
                  <c:v>23.436152424110556</c:v>
                </c:pt>
                <c:pt idx="731">
                  <c:v>-26.380455477369726</c:v>
                </c:pt>
                <c:pt idx="732">
                  <c:v>15.461915046115216</c:v>
                </c:pt>
                <c:pt idx="733">
                  <c:v>3.5990923568220823</c:v>
                </c:pt>
                <c:pt idx="734">
                  <c:v>-20.79426397340421</c:v>
                </c:pt>
                <c:pt idx="735">
                  <c:v>27.082413908141373</c:v>
                </c:pt>
                <c:pt idx="736">
                  <c:v>-19.143320172505312</c:v>
                </c:pt>
                <c:pt idx="737">
                  <c:v>1.1308020978063809</c:v>
                </c:pt>
                <c:pt idx="738">
                  <c:v>17.500575163223228</c:v>
                </c:pt>
                <c:pt idx="739">
                  <c:v>-26.958106279147106</c:v>
                </c:pt>
                <c:pt idx="740">
                  <c:v>22.25803351590481</c:v>
                </c:pt>
                <c:pt idx="741">
                  <c:v>-5.8517781068758445</c:v>
                </c:pt>
                <c:pt idx="742">
                  <c:v>-13.65258879284953</c:v>
                </c:pt>
                <c:pt idx="743">
                  <c:v>26.00685599410712</c:v>
                </c:pt>
                <c:pt idx="744">
                  <c:v>-24.707422304724702</c:v>
                </c:pt>
                <c:pt idx="745">
                  <c:v>10.418952182899295</c:v>
                </c:pt>
                <c:pt idx="746">
                  <c:v>9.3653564540556005</c:v>
                </c:pt>
                <c:pt idx="747">
                  <c:v>-24.253376331857819</c:v>
                </c:pt>
                <c:pt idx="748">
                  <c:v>26.412752083286357</c:v>
                </c:pt>
                <c:pt idx="749">
                  <c:v>-14.691383122567336</c:v>
                </c:pt>
                <c:pt idx="750">
                  <c:v>-4.7680365386500787</c:v>
                </c:pt>
                <c:pt idx="751">
                  <c:v>21.747146953624888</c:v>
                </c:pt>
                <c:pt idx="752">
                  <c:v>-27.31771309094605</c:v>
                </c:pt>
                <c:pt idx="753">
                  <c:v>18.536424807557051</c:v>
                </c:pt>
                <c:pt idx="754">
                  <c:v>-2.6158167242830138E-11</c:v>
                </c:pt>
                <c:pt idx="755">
                  <c:v>-18.561025249408573</c:v>
                </c:pt>
                <c:pt idx="756">
                  <c:v>27.390270225619439</c:v>
                </c:pt>
                <c:pt idx="757">
                  <c:v>-21.833846886663547</c:v>
                </c:pt>
                <c:pt idx="758">
                  <c:v>4.7933986141161444</c:v>
                </c:pt>
                <c:pt idx="759">
                  <c:v>14.789131260737616</c:v>
                </c:pt>
                <c:pt idx="760">
                  <c:v>-26.623776093118032</c:v>
                </c:pt>
                <c:pt idx="761">
                  <c:v>24.479595265545143</c:v>
                </c:pt>
                <c:pt idx="762">
                  <c:v>-9.4652564162304014</c:v>
                </c:pt>
                <c:pt idx="763">
                  <c:v>-10.544067499684566</c:v>
                </c:pt>
                <c:pt idx="764">
                  <c:v>25.037309035566512</c:v>
                </c:pt>
                <c:pt idx="765">
                  <c:v>-26.389074766501007</c:v>
                </c:pt>
                <c:pt idx="766">
                  <c:v>13.871628263877101</c:v>
                </c:pt>
                <c:pt idx="767">
                  <c:v>5.9535557909478696</c:v>
                </c:pt>
                <c:pt idx="768">
                  <c:v>-22.67522171300191</c:v>
                </c:pt>
                <c:pt idx="769">
                  <c:v>27.499850436490409</c:v>
                </c:pt>
                <c:pt idx="770">
                  <c:v>-17.875965336931589</c:v>
                </c:pt>
                <c:pt idx="771">
                  <c:v>-1.1565916446214706</c:v>
                </c:pt>
                <c:pt idx="772">
                  <c:v>19.605910058172729</c:v>
                </c:pt>
                <c:pt idx="773">
                  <c:v>-27.773681360957731</c:v>
                </c:pt>
                <c:pt idx="774">
                  <c:v>21.353349244614908</c:v>
                </c:pt>
                <c:pt idx="775">
                  <c:v>-3.7007679579632642</c:v>
                </c:pt>
                <c:pt idx="776">
                  <c:v>-15.919836489841654</c:v>
                </c:pt>
                <c:pt idx="777">
                  <c:v>27.197820963573061</c:v>
                </c:pt>
                <c:pt idx="778">
                  <c:v>-24.194390300453932</c:v>
                </c:pt>
                <c:pt idx="779">
                  <c:v>8.4698556026347926</c:v>
                </c:pt>
                <c:pt idx="780">
                  <c:v>11.726864411871862</c:v>
                </c:pt>
                <c:pt idx="781">
                  <c:v>-25.785540030375575</c:v>
                </c:pt>
                <c:pt idx="782">
                  <c:v>26.308668282901372</c:v>
                </c:pt>
                <c:pt idx="783">
                  <c:v>-13.00394754124652</c:v>
                </c:pt>
                <c:pt idx="784">
                  <c:v>-7.1529825249611356</c:v>
                </c:pt>
                <c:pt idx="785">
                  <c:v>23.575852415413404</c:v>
                </c:pt>
                <c:pt idx="786">
                  <c:v>-27.627607477054347</c:v>
                </c:pt>
                <c:pt idx="787">
                  <c:v>17.162781230205677</c:v>
                </c:pt>
                <c:pt idx="788">
                  <c:v>2.336516664590186</c:v>
                </c:pt>
                <c:pt idx="789">
                  <c:v>-20.632447839321816</c:v>
                </c:pt>
                <c:pt idx="790">
                  <c:v>28.1066946731165</c:v>
                </c:pt>
                <c:pt idx="791">
                  <c:v>-20.816897115505558</c:v>
                </c:pt>
                <c:pt idx="792">
                  <c:v>2.5760568515661575</c:v>
                </c:pt>
                <c:pt idx="793">
                  <c:v>17.041860631176053</c:v>
                </c:pt>
                <c:pt idx="794">
                  <c:v>-27.726968574574762</c:v>
                </c:pt>
                <c:pt idx="795">
                  <c:v>23.851670189595936</c:v>
                </c:pt>
                <c:pt idx="796">
                  <c:v>-7.4345695456385981</c:v>
                </c:pt>
                <c:pt idx="797">
                  <c:v>-12.910926934898653</c:v>
                </c:pt>
                <c:pt idx="798">
                  <c:v>26.495731148895292</c:v>
                </c:pt>
                <c:pt idx="799">
                  <c:v>-26.170905731372311</c:v>
                </c:pt>
                <c:pt idx="800">
                  <c:v>12.089754956770999</c:v>
                </c:pt>
                <c:pt idx="801">
                  <c:v>8.3636050692400108</c:v>
                </c:pt>
                <c:pt idx="802">
                  <c:v>-24.446455165533262</c:v>
                </c:pt>
                <c:pt idx="803">
                  <c:v>27.699886439843517</c:v>
                </c:pt>
                <c:pt idx="804">
                  <c:v>-16.397838008280633</c:v>
                </c:pt>
                <c:pt idx="805">
                  <c:v>-3.5372537055783906</c:v>
                </c:pt>
                <c:pt idx="806">
                  <c:v>21.637886787062978</c:v>
                </c:pt>
                <c:pt idx="807">
                  <c:v>-28.387774508194788</c:v>
                </c:pt>
                <c:pt idx="808">
                  <c:v>20.224978356730198</c:v>
                </c:pt>
                <c:pt idx="809">
                  <c:v>-1.4215203166732429</c:v>
                </c:pt>
                <c:pt idx="810">
                  <c:v>-18.15236685483676</c:v>
                </c:pt>
                <c:pt idx="811">
                  <c:v>28.209291572158342</c:v>
                </c:pt>
                <c:pt idx="812">
                  <c:v>-23.451430321836281</c:v>
                </c:pt>
                <c:pt idx="813">
                  <c:v>6.3613189241069632</c:v>
                </c:pt>
                <c:pt idx="814">
                  <c:v>14.093418677134215</c:v>
                </c:pt>
                <c:pt idx="815">
                  <c:v>-27.165621321516404</c:v>
                </c:pt>
                <c:pt idx="816">
                  <c:v>25.97529005266102</c:v>
                </c:pt>
                <c:pt idx="817">
                  <c:v>-11.130578889178574</c:v>
                </c:pt>
                <c:pt idx="818">
                  <c:v>-9.5826729379697486</c:v>
                </c:pt>
                <c:pt idx="819">
                  <c:v>25.284503223617737</c:v>
                </c:pt>
                <c:pt idx="820">
                  <c:v>-27.715712665603874</c:v>
                </c:pt>
                <c:pt idx="821">
                  <c:v>15.582225591013467</c:v>
                </c:pt>
                <c:pt idx="822">
                  <c:v>4.7562210891555248</c:v>
                </c:pt>
                <c:pt idx="823">
                  <c:v>-22.619510553267922</c:v>
                </c:pt>
                <c:pt idx="824">
                  <c:v>28.615497839416882</c:v>
                </c:pt>
                <c:pt idx="825">
                  <c:v>-19.578211460704324</c:v>
                </c:pt>
                <c:pt idx="826">
                  <c:v>0.23949338362742917</c:v>
                </c:pt>
                <c:pt idx="827">
                  <c:v>19.248530995730697</c:v>
                </c:pt>
                <c:pt idx="828">
                  <c:v>-28.642961303100773</c:v>
                </c:pt>
                <c:pt idx="829">
                  <c:v>22.993798979257026</c:v>
                </c:pt>
                <c:pt idx="830">
                  <c:v>-5.2521216840807146</c:v>
                </c:pt>
                <c:pt idx="831">
                  <c:v>-15.271492718290638</c:v>
                </c:pt>
                <c:pt idx="832">
                  <c:v>27.793031236000505</c:v>
                </c:pt>
                <c:pt idx="833">
                  <c:v>-25.721455290238008</c:v>
                </c:pt>
                <c:pt idx="834">
                  <c:v>10.128059289439459</c:v>
                </c:pt>
                <c:pt idx="835">
                  <c:v>10.807402229733055</c:v>
                </c:pt>
                <c:pt idx="836">
                  <c:v>-26.087532162163203</c:v>
                </c:pt>
                <c:pt idx="837">
                  <c:v>27.67423681145322</c:v>
                </c:pt>
                <c:pt idx="838">
                  <c:v>-14.717156385023138</c:v>
                </c:pt>
                <c:pt idx="839">
                  <c:v>-5.9907818382608431</c:v>
                </c:pt>
                <c:pt idx="840">
                  <c:v>23.574643746507796</c:v>
                </c:pt>
                <c:pt idx="841">
                  <c:v>-28.788557348847341</c:v>
                </c:pt>
                <c:pt idx="842">
                  <c:v>18.877344596591101</c:v>
                </c:pt>
                <c:pt idx="843">
                  <c:v>0.967613406598684</c:v>
                </c:pt>
                <c:pt idx="844">
                  <c:v>-20.327547229405859</c:v>
                </c:pt>
                <c:pt idx="845">
                  <c:v>29.02625168528655</c:v>
                </c:pt>
                <c:pt idx="846">
                  <c:v>-22.479037365172296</c:v>
                </c:pt>
                <c:pt idx="847">
                  <c:v>4.1090892063505056</c:v>
                </c:pt>
                <c:pt idx="848">
                  <c:v>16.442297290743308</c:v>
                </c:pt>
                <c:pt idx="849">
                  <c:v>-28.375867881985677</c:v>
                </c:pt>
                <c:pt idx="850">
                  <c:v>25.409167607504813</c:v>
                </c:pt>
                <c:pt idx="851">
                  <c:v>-9.0839446329906295</c:v>
                </c:pt>
                <c:pt idx="852">
                  <c:v>-12.034981141484552</c:v>
                </c:pt>
                <c:pt idx="853">
                  <c:v>26.853144948880292</c:v>
                </c:pt>
                <c:pt idx="854">
                  <c:v>-27.57473683001556</c:v>
                </c:pt>
                <c:pt idx="855">
                  <c:v>13.803963115827926</c:v>
                </c:pt>
                <c:pt idx="856">
                  <c:v>7.2382488558692568</c:v>
                </c:pt>
                <c:pt idx="857">
                  <c:v>-24.500657401158101</c:v>
                </c:pt>
                <c:pt idx="858">
                  <c:v>28.905764311599373</c:v>
                </c:pt>
                <c:pt idx="859">
                  <c:v>-18.123254390930036</c:v>
                </c:pt>
                <c:pt idx="860">
                  <c:v>-2.1973186875999402</c:v>
                </c:pt>
                <c:pt idx="861">
                  <c:v>21.386633762595942</c:v>
                </c:pt>
                <c:pt idx="862">
                  <c:v>-29.357542912514912</c:v>
                </c:pt>
                <c:pt idx="863">
                  <c:v>21.907539373835107</c:v>
                </c:pt>
                <c:pt idx="864">
                  <c:v>-2.9344222590581182</c:v>
                </c:pt>
                <c:pt idx="865">
                  <c:v>-17.602981519086555</c:v>
                </c:pt>
                <c:pt idx="866">
                  <c:v>28.91212896659092</c:v>
                </c:pt>
                <c:pt idx="867">
                  <c:v>-25.038326056789089</c:v>
                </c:pt>
                <c:pt idx="868">
                  <c:v>8.0000886349053619</c:v>
                </c:pt>
                <c:pt idx="869">
                  <c:v>13.26257558325573</c:v>
                </c:pt>
                <c:pt idx="870">
                  <c:v>-27.579016941393938</c:v>
                </c:pt>
                <c:pt idx="871">
                  <c:v>27.416619717488601</c:v>
                </c:pt>
                <c:pt idx="872">
                  <c:v>-12.84409640775292</c:v>
                </c:pt>
                <c:pt idx="873">
                  <c:v>-8.4958902439874535</c:v>
                </c:pt>
                <c:pt idx="874">
                  <c:v>25.394974401256622</c:v>
                </c:pt>
                <c:pt idx="875">
                  <c:v>-28.966051273035301</c:v>
                </c:pt>
                <c:pt idx="876">
                  <c:v>17.316944448806669</c:v>
                </c:pt>
                <c:pt idx="877">
                  <c:v>3.4470751281722887</c:v>
                </c:pt>
                <c:pt idx="878">
                  <c:v>-22.423038522707724</c:v>
                </c:pt>
                <c:pt idx="879">
                  <c:v>29.635324982354973</c:v>
                </c:pt>
                <c:pt idx="880">
                  <c:v>-21.279831100476095</c:v>
                </c:pt>
                <c:pt idx="881">
                  <c:v>1.7304067443268323</c:v>
                </c:pt>
                <c:pt idx="882">
                  <c:v>18.75070120340639</c:v>
                </c:pt>
                <c:pt idx="883">
                  <c:v>-29.399907188301253</c:v>
                </c:pt>
                <c:pt idx="884">
                  <c:v>24.608963096012957</c:v>
                </c:pt>
                <c:pt idx="885">
                  <c:v>-6.8784467349409573</c:v>
                </c:pt>
                <c:pt idx="886">
                  <c:v>-14.487334879684203</c:v>
                </c:pt>
                <c:pt idx="887">
                  <c:v>28.262900779443513</c:v>
                </c:pt>
                <c:pt idx="888">
                  <c:v>-27.199423024276104</c:v>
                </c:pt>
                <c:pt idx="889">
                  <c:v>11.839122116445239</c:v>
                </c:pt>
                <c:pt idx="890">
                  <c:v>9.7609347497831926</c:v>
                </c:pt>
                <c:pt idx="891">
                  <c:v>-26.255074844153146</c:v>
                </c:pt>
                <c:pt idx="892">
                  <c:v>28.968474510308969</c:v>
                </c:pt>
                <c:pt idx="893">
                  <c:v>-16.459543617177477</c:v>
                </c:pt>
                <c:pt idx="894">
                  <c:v>-4.7142744569608537</c:v>
                </c:pt>
                <c:pt idx="895">
                  <c:v>23.434044831341676</c:v>
                </c:pt>
                <c:pt idx="896">
                  <c:v>-29.858201036437713</c:v>
                </c:pt>
                <c:pt idx="897">
                  <c:v>20.596570090684086</c:v>
                </c:pt>
                <c:pt idx="898">
                  <c:v>-0.49940924885192722</c:v>
                </c:pt>
                <c:pt idx="899">
                  <c:v>-19.882624631178047</c:v>
                </c:pt>
                <c:pt idx="900">
                  <c:v>29.837394356916104</c:v>
                </c:pt>
                <c:pt idx="901">
                  <c:v>-24.121244849819615</c:v>
                </c:pt>
                <c:pt idx="902">
                  <c:v>5.7210723602019007</c:v>
                </c:pt>
                <c:pt idx="903">
                  <c:v>15.706397543915475</c:v>
                </c:pt>
                <c:pt idx="904">
                  <c:v>-28.902631161358837</c:v>
                </c:pt>
                <c:pt idx="905">
                  <c:v>26.922816122498975</c:v>
                </c:pt>
                <c:pt idx="906">
                  <c:v>-10.790718418931352</c:v>
                </c:pt>
                <c:pt idx="907">
                  <c:v>-11.030577326178539</c:v>
                </c:pt>
                <c:pt idx="908">
                  <c:v>27.078501330144018</c:v>
                </c:pt>
                <c:pt idx="909">
                  <c:v>-28.912216270279441</c:v>
                </c:pt>
                <c:pt idx="910">
                  <c:v>15.552303992733481</c:v>
                </c:pt>
                <c:pt idx="911">
                  <c:v>5.9962526401013765</c:v>
                </c:pt>
                <c:pt idx="912">
                  <c:v>-24.416977047594131</c:v>
                </c:pt>
                <c:pt idx="913">
                  <c:v>30.02489050328057</c:v>
                </c:pt>
                <c:pt idx="914">
                  <c:v>-19.858544329301143</c:v>
                </c:pt>
                <c:pt idx="915">
                  <c:v>-0.75612759221219406</c:v>
                </c:pt>
                <c:pt idx="916">
                  <c:v>20.995938403406978</c:v>
                </c:pt>
                <c:pt idx="917">
                  <c:v>-30.222885347997568</c:v>
                </c:pt>
                <c:pt idx="918">
                  <c:v>23.575471112376068</c:v>
                </c:pt>
                <c:pt idx="919">
                  <c:v>-4.530112972445151</c:v>
                </c:pt>
                <c:pt idx="920">
                  <c:v>-16.916897110285824</c:v>
                </c:pt>
                <c:pt idx="921">
                  <c:v>29.496129491996172</c:v>
                </c:pt>
                <c:pt idx="922">
                  <c:v>-26.586601225177784</c:v>
                </c:pt>
                <c:pt idx="923">
                  <c:v>9.7006726662418252</c:v>
                </c:pt>
                <c:pt idx="924">
                  <c:v>12.301984793559217</c:v>
                </c:pt>
                <c:pt idx="925">
                  <c:v>-27.862864164177605</c:v>
                </c:pt>
                <c:pt idx="926">
                  <c:v>28.79658677659982</c:v>
                </c:pt>
                <c:pt idx="927">
                  <c:v>-14.596598677669363</c:v>
                </c:pt>
                <c:pt idx="928">
                  <c:v>-7.290295199536839</c:v>
                </c:pt>
                <c:pt idx="929">
                  <c:v>25.369206166734628</c:v>
                </c:pt>
                <c:pt idx="930">
                  <c:v>-30.134232034455685</c:v>
                </c:pt>
                <c:pt idx="931">
                  <c:v>19.066670969148838</c:v>
                </c:pt>
                <c:pt idx="932">
                  <c:v>2.0336899081696127</c:v>
                </c:pt>
                <c:pt idx="933">
                  <c:v>-22.087853261260435</c:v>
                </c:pt>
                <c:pt idx="934">
                  <c:v>30.554781881004843</c:v>
                </c:pt>
                <c:pt idx="935">
                  <c:v>-22.972075090157841</c:v>
                </c:pt>
                <c:pt idx="936">
                  <c:v>3.3078059084400753</c:v>
                </c:pt>
                <c:pt idx="937">
                  <c:v>18.115968011919673</c:v>
                </c:pt>
                <c:pt idx="938">
                  <c:v>-30.04140838978682</c:v>
                </c:pt>
                <c:pt idx="939">
                  <c:v>26.190714153064892</c:v>
                </c:pt>
                <c:pt idx="940">
                  <c:v>-8.57087800483745</c:v>
                </c:pt>
                <c:pt idx="941">
                  <c:v>-13.572301590077979</c:v>
                </c:pt>
                <c:pt idx="942">
                  <c:v>28.605846456498611</c:v>
                </c:pt>
                <c:pt idx="943">
                  <c:v>-28.621025999361127</c:v>
                </c:pt>
                <c:pt idx="944">
                  <c:v>13.593919286246209</c:v>
                </c:pt>
                <c:pt idx="945">
                  <c:v>8.5936426610572241</c:v>
                </c:pt>
                <c:pt idx="946">
                  <c:v>-26.288155360743627</c:v>
                </c:pt>
                <c:pt idx="947">
                  <c:v>30.185186225526895</c:v>
                </c:pt>
                <c:pt idx="948">
                  <c:v>-18.221994800830664</c:v>
                </c:pt>
                <c:pt idx="949">
                  <c:v>-3.330697571870866</c:v>
                </c:pt>
                <c:pt idx="950">
                  <c:v>23.155609898781687</c:v>
                </c:pt>
                <c:pt idx="951">
                  <c:v>-30.831596110786009</c:v>
                </c:pt>
                <c:pt idx="952">
                  <c:v>22.311622883216582</c:v>
                </c:pt>
                <c:pt idx="953">
                  <c:v>-2.0564740217124085</c:v>
                </c:pt>
                <c:pt idx="954">
                  <c:v>-19.300751489936165</c:v>
                </c:pt>
                <c:pt idx="955">
                  <c:v>30.536576041450189</c:v>
                </c:pt>
                <c:pt idx="956">
                  <c:v>-25.735224845170887</c:v>
                </c:pt>
                <c:pt idx="957">
                  <c:v>7.4033297728360123</c:v>
                </c:pt>
                <c:pt idx="958">
                  <c:v>14.838655597692243</c:v>
                </c:pt>
                <c:pt idx="959">
                  <c:v>-29.305209109692456</c:v>
                </c:pt>
                <c:pt idx="960">
                  <c:v>28.385105181564764</c:v>
                </c:pt>
                <c:pt idx="961">
                  <c:v>-12.545873206813033</c:v>
                </c:pt>
                <c:pt idx="962">
                  <c:v>-9.9034961197964329</c:v>
                </c:pt>
                <c:pt idx="963">
                  <c:v>27.171305447249352</c:v>
                </c:pt>
                <c:pt idx="964">
                  <c:v>-30.176838113941255</c:v>
                </c:pt>
                <c:pt idx="965">
                  <c:v>17.32568646508037</c:v>
                </c:pt>
                <c:pt idx="966">
                  <c:v>4.644509335344293</c:v>
                </c:pt>
                <c:pt idx="967">
                  <c:v>-24.196484748655799</c:v>
                </c:pt>
                <c:pt idx="968">
                  <c:v>31.051954022812744</c:v>
                </c:pt>
                <c:pt idx="969">
                  <c:v>-21.594812704228893</c:v>
                </c:pt>
                <c:pt idx="970">
                  <c:v>0.77852113395209332</c:v>
                </c:pt>
                <c:pt idx="971">
                  <c:v>20.468401520452197</c:v>
                </c:pt>
                <c:pt idx="972">
                  <c:v>-30.979840393048541</c:v>
                </c:pt>
                <c:pt idx="973">
                  <c:v>25.220337610195568</c:v>
                </c:pt>
                <c:pt idx="974">
                  <c:v>-6.2001216779252131</c:v>
                </c:pt>
                <c:pt idx="975">
                  <c:v>-16.098164030654299</c:v>
                </c:pt>
                <c:pt idx="976">
                  <c:v>29.958795679684091</c:v>
                </c:pt>
                <c:pt idx="977">
                  <c:v>-28.088528117085801</c:v>
                </c:pt>
                <c:pt idx="978">
                  <c:v>11.454180623447343</c:v>
                </c:pt>
                <c:pt idx="979">
                  <c:v>11.217022911293284</c:v>
                </c:pt>
                <c:pt idx="980">
                  <c:v>-28.016200274036457</c:v>
                </c:pt>
                <c:pt idx="981">
                  <c:v>30.108399446535156</c:v>
                </c:pt>
                <c:pt idx="982">
                  <c:v>-16.379040410312783</c:v>
                </c:pt>
                <c:pt idx="983">
                  <c:v>-5.9724281106056898</c:v>
                </c:pt>
                <c:pt idx="984">
                  <c:v>25.207795727328016</c:v>
                </c:pt>
                <c:pt idx="985">
                  <c:v>-31.214598623088296</c:v>
                </c:pt>
                <c:pt idx="986">
                  <c:v>20.82247383562391</c:v>
                </c:pt>
                <c:pt idx="987">
                  <c:v>0.52357269444977483</c:v>
                </c:pt>
                <c:pt idx="988">
                  <c:v>-21.616090746417488</c:v>
                </c:pt>
                <c:pt idx="989">
                  <c:v>31.369513166923536</c:v>
                </c:pt>
                <c:pt idx="990">
                  <c:v>-24.646391116559062</c:v>
                </c:pt>
                <c:pt idx="991">
                  <c:v>4.9634417637981896</c:v>
                </c:pt>
                <c:pt idx="992">
                  <c:v>17.347939374215361</c:v>
                </c:pt>
                <c:pt idx="993">
                  <c:v>-30.564537099025955</c:v>
                </c:pt>
                <c:pt idx="994">
                  <c:v>27.73113217564806</c:v>
                </c:pt>
                <c:pt idx="995">
                  <c:v>-10.32067130225647</c:v>
                </c:pt>
                <c:pt idx="996">
                  <c:v>-12.531362376479608</c:v>
                </c:pt>
                <c:pt idx="997">
                  <c:v>28.820452006241588</c:v>
                </c:pt>
                <c:pt idx="998">
                  <c:v>-29.979210710114348</c:v>
                </c:pt>
                <c:pt idx="999">
                  <c:v>15.383472597945511</c:v>
                </c:pt>
                <c:pt idx="1000">
                  <c:v>7.3117063853000444</c:v>
                </c:pt>
                <c:pt idx="1001">
                  <c:v>30.765873134613987</c:v>
                </c:pt>
                <c:pt idx="1002">
                  <c:v>30.765873134613987</c:v>
                </c:pt>
                <c:pt idx="1003">
                  <c:v>-30.765873134613987</c:v>
                </c:pt>
                <c:pt idx="1004">
                  <c:v>-30.765873134613987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2-4F5A-8B51-64E284E2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36184"/>
        <c:axId val="794133232"/>
      </c:scatterChart>
      <c:valAx>
        <c:axId val="794136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4133232"/>
        <c:crosses val="autoZero"/>
        <c:crossBetween val="midCat"/>
      </c:valAx>
      <c:valAx>
        <c:axId val="79413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413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'【解答】演習問題４（ひまわりシミュレーション）'!$D$11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'【解答】演習問題４（ひまわりシミュレーション）'!$C$12:$C$1016</c:f>
              <c:numCache>
                <c:formatCode>General</c:formatCode>
                <c:ptCount val="1005"/>
                <c:pt idx="0">
                  <c:v>0</c:v>
                </c:pt>
                <c:pt idx="1">
                  <c:v>-0.73735552334087584</c:v>
                </c:pt>
                <c:pt idx="2">
                  <c:v>0.12358294097527481</c:v>
                </c:pt>
                <c:pt idx="3">
                  <c:v>1.0539285445432787</c:v>
                </c:pt>
                <c:pt idx="4">
                  <c:v>-1.9694545133998036</c:v>
                </c:pt>
                <c:pt idx="5">
                  <c:v>1.8865755491669742</c:v>
                </c:pt>
                <c:pt idx="6">
                  <c:v>-0.63561747771129995</c:v>
                </c:pt>
                <c:pt idx="7">
                  <c:v>-1.2197702921609488</c:v>
                </c:pt>
                <c:pt idx="8">
                  <c:v>2.656955258155286</c:v>
                </c:pt>
                <c:pt idx="9">
                  <c:v>-2.7728329512312522</c:v>
                </c:pt>
                <c:pt idx="10">
                  <c:v>1.3397524399021596</c:v>
                </c:pt>
                <c:pt idx="11">
                  <c:v>0.99330047494844265</c:v>
                </c:pt>
                <c:pt idx="12">
                  <c:v>-2.9975915379430251</c:v>
                </c:pt>
                <c:pt idx="13">
                  <c:v>3.5212554902848647</c:v>
                </c:pt>
                <c:pt idx="14">
                  <c:v>-2.1510899864580915</c:v>
                </c:pt>
                <c:pt idx="15">
                  <c:v>-0.49885876202730806</c:v>
                </c:pt>
                <c:pt idx="16">
                  <c:v>3.0594112438390226</c:v>
                </c:pt>
                <c:pt idx="17">
                  <c:v>-4.1195272272358787</c:v>
                </c:pt>
                <c:pt idx="18">
                  <c:v>3.006243338130854</c:v>
                </c:pt>
                <c:pt idx="19">
                  <c:v>-0.19970822681545161</c:v>
                </c:pt>
                <c:pt idx="20">
                  <c:v>-2.8666958536384768</c:v>
                </c:pt>
                <c:pt idx="21">
                  <c:v>4.5419039132678956</c:v>
                </c:pt>
                <c:pt idx="22">
                  <c:v>-3.849001365829543</c:v>
                </c:pt>
                <c:pt idx="23">
                  <c:v>1.0504679971672488</c:v>
                </c:pt>
                <c:pt idx="24">
                  <c:v>2.4376954728174218</c:v>
                </c:pt>
                <c:pt idx="25">
                  <c:v>-4.7642144118922465</c:v>
                </c:pt>
                <c:pt idx="26">
                  <c:v>4.6277447749594351</c:v>
                </c:pt>
                <c:pt idx="27">
                  <c:v>-2.0034732914302684</c:v>
                </c:pt>
                <c:pt idx="28">
                  <c:v>-1.7936771761099206</c:v>
                </c:pt>
                <c:pt idx="29">
                  <c:v>4.7683266276127583</c:v>
                </c:pt>
                <c:pt idx="30">
                  <c:v>-5.295483880435353</c:v>
                </c:pt>
                <c:pt idx="31">
                  <c:v>3.0083862973307935</c:v>
                </c:pt>
                <c:pt idx="32">
                  <c:v>0.96166321347287798</c:v>
                </c:pt>
                <c:pt idx="33">
                  <c:v>-4.5440782127867827</c:v>
                </c:pt>
                <c:pt idx="34">
                  <c:v>5.8107182008658711</c:v>
                </c:pt>
                <c:pt idx="35">
                  <c:v>-4.0144816062813726</c:v>
                </c:pt>
                <c:pt idx="36">
                  <c:v>2.4999338704093273E-2</c:v>
                </c:pt>
                <c:pt idx="37">
                  <c:v>4.0902123925022416</c:v>
                </c:pt>
                <c:pt idx="38">
                  <c:v>-6.1385342513244163</c:v>
                </c:pt>
                <c:pt idx="39">
                  <c:v>4.9715996018708433</c:v>
                </c:pt>
                <c:pt idx="40">
                  <c:v>-1.1270704689714564</c:v>
                </c:pt>
                <c:pt idx="41">
                  <c:v>-3.4147314960002313</c:v>
                </c:pt>
                <c:pt idx="42">
                  <c:v>6.2516873479271347</c:v>
                </c:pt>
                <c:pt idx="43">
                  <c:v>-5.8315159111663997</c:v>
                </c:pt>
                <c:pt idx="44">
                  <c:v>2.3004178978888365</c:v>
                </c:pt>
                <c:pt idx="45">
                  <c:v>2.5348055727488341</c:v>
                </c:pt>
                <c:pt idx="46">
                  <c:v>-6.1315312070007888</c:v>
                </c:pt>
                <c:pt idx="47">
                  <c:v>6.5494713152116883</c:v>
                </c:pt>
                <c:pt idx="48">
                  <c:v>-3.4973805360294294</c:v>
                </c:pt>
                <c:pt idx="49">
                  <c:v>-1.4762960069375863</c:v>
                </c:pt>
                <c:pt idx="50">
                  <c:v>5.7687122985129093</c:v>
                </c:pt>
                <c:pt idx="51">
                  <c:v>-7.0857112493896652</c:v>
                </c:pt>
                <c:pt idx="52">
                  <c:v>4.6683688896263584</c:v>
                </c:pt>
                <c:pt idx="53">
                  <c:v>0.27293371294894619</c:v>
                </c:pt>
                <c:pt idx="54">
                  <c:v>-5.1635759643270056</c:v>
                </c:pt>
                <c:pt idx="55">
                  <c:v>7.4069306067274168</c:v>
                </c:pt>
                <c:pt idx="56">
                  <c:v>-5.7636074462708669</c:v>
                </c:pt>
                <c:pt idx="57">
                  <c:v>1.0348099969231772</c:v>
                </c:pt>
                <c:pt idx="58">
                  <c:v>4.3262522205440561</c:v>
                </c:pt>
                <c:pt idx="59">
                  <c:v>-7.4875446942811985</c:v>
                </c:pt>
                <c:pt idx="60">
                  <c:v>6.7349370560666442</c:v>
                </c:pt>
                <c:pt idx="61">
                  <c:v>-2.4011168442144815</c:v>
                </c:pt>
                <c:pt idx="62">
                  <c:v>-3.276406114512171</c:v>
                </c:pt>
                <c:pt idx="63">
                  <c:v>7.3107241239869216</c:v>
                </c:pt>
                <c:pt idx="64">
                  <c:v>-7.5376019319265088</c:v>
                </c:pt>
                <c:pt idx="65">
                  <c:v>3.776429580401119</c:v>
                </c:pt>
                <c:pt idx="66">
                  <c:v>2.0426524825663588</c:v>
                </c:pt>
                <c:pt idx="67">
                  <c:v>-6.8691453385771224</c:v>
                </c:pt>
                <c:pt idx="68">
                  <c:v>8.1319507827852497</c:v>
                </c:pt>
                <c:pt idx="69">
                  <c:v>-5.1092183408390532</c:v>
                </c:pt>
                <c:pt idx="70">
                  <c:v>-0.66164864529818168</c:v>
                </c:pt>
                <c:pt idx="71">
                  <c:v>6.1654214784810462</c:v>
                </c:pt>
                <c:pt idx="72">
                  <c:v>-8.4849867619997621</c:v>
                </c:pt>
                <c:pt idx="73">
                  <c:v>6.3478438940062025</c:v>
                </c:pt>
                <c:pt idx="74">
                  <c:v>-0.8231088824334345</c:v>
                </c:pt>
                <c:pt idx="75">
                  <c:v>-5.2121911742325731</c:v>
                </c:pt>
                <c:pt idx="76">
                  <c:v>8.5717072116878228</c:v>
                </c:pt>
                <c:pt idx="77">
                  <c:v>-7.4424528099934797</c:v>
                </c:pt>
                <c:pt idx="78">
                  <c:v>2.36274631085722</c:v>
                </c:pt>
                <c:pt idx="79">
                  <c:v>4.0318557865353108</c:v>
                </c:pt>
                <c:pt idx="80">
                  <c:v>-8.3761819168461411</c:v>
                </c:pt>
                <c:pt idx="81">
                  <c:v>8.3468380919010237</c:v>
                </c:pt>
                <c:pt idx="82">
                  <c:v>-3.9046859632707909</c:v>
                </c:pt>
                <c:pt idx="83">
                  <c:v>-2.655968505338445</c:v>
                </c:pt>
                <c:pt idx="84">
                  <c:v>7.8923277649891492</c:v>
                </c:pt>
                <c:pt idx="85">
                  <c:v>-9.0201995082252235</c:v>
                </c:pt>
                <c:pt idx="86">
                  <c:v>5.3944758794041245</c:v>
                </c:pt>
                <c:pt idx="87">
                  <c:v>1.1242913065411848</c:v>
                </c:pt>
                <c:pt idx="88">
                  <c:v>-7.1243481817491077</c:v>
                </c:pt>
                <c:pt idx="89">
                  <c:v>9.4287407635935523</c:v>
                </c:pt>
                <c:pt idx="90">
                  <c:v>-6.7777142240805155</c:v>
                </c:pt>
                <c:pt idx="91">
                  <c:v>0.5164522722165279</c:v>
                </c:pt>
                <c:pt idx="92">
                  <c:v>6.0868172167743664</c:v>
                </c:pt>
                <c:pt idx="93">
                  <c:v>-9.5470456860732096</c:v>
                </c:pt>
                <c:pt idx="94">
                  <c:v>8.0020030527007577</c:v>
                </c:pt>
                <c:pt idx="95">
                  <c:v>-2.2140895824738012</c:v>
                </c:pt>
                <c:pt idx="96">
                  <c:v>-4.8044003535328121</c:v>
                </c:pt>
                <c:pt idx="97">
                  <c:v>9.3591826466269321</c:v>
                </c:pt>
                <c:pt idx="98">
                  <c:v>-9.0188641916876904</c:v>
                </c:pt>
                <c:pt idx="99">
                  <c:v>3.9127279050393922</c:v>
                </c:pt>
                <c:pt idx="100">
                  <c:v>3.3112166332056376</c:v>
                </c:pt>
                <c:pt idx="101">
                  <c:v>-8.8594952420507536</c:v>
                </c:pt>
                <c:pt idx="102">
                  <c:v>9.7855505039177615</c:v>
                </c:pt>
                <c:pt idx="103">
                  <c:v>-5.5546433792707335</c:v>
                </c:pt>
                <c:pt idx="104">
                  <c:v>-1.649859114739872</c:v>
                </c:pt>
                <c:pt idx="105">
                  <c:v>8.0530475854109458</c:v>
                </c:pt>
                <c:pt idx="106">
                  <c:v>-10.266688615060369</c:v>
                </c:pt>
                <c:pt idx="107">
                  <c:v>7.0822669474902558</c:v>
                </c:pt>
                <c:pt idx="108">
                  <c:v>-0.12989736757900883</c:v>
                </c:pt>
                <c:pt idx="109">
                  <c:v>-6.9557040228796811</c:v>
                </c:pt>
                <c:pt idx="110">
                  <c:v>10.435694191792804</c:v>
                </c:pt>
                <c:pt idx="111">
                  <c:v>-8.4402003662093907</c:v>
                </c:pt>
                <c:pt idx="112">
                  <c:v>1.9726611389673308</c:v>
                </c:pt>
                <c:pt idx="113">
                  <c:v>5.5938353565861174</c:v>
                </c:pt>
                <c:pt idx="114">
                  <c:v>-10.275907930167868</c:v>
                </c:pt>
                <c:pt idx="115">
                  <c:v>9.5771935069611782</c:v>
                </c:pt>
                <c:pt idx="116">
                  <c:v>-3.8192115162802573</c:v>
                </c:pt>
                <c:pt idx="117">
                  <c:v>-4.0036562942497032</c:v>
                </c:pt>
                <c:pt idx="118">
                  <c:v>9.7814093068996879</c:v>
                </c:pt>
                <c:pt idx="119">
                  <c:v>-10.448014660191697</c:v>
                </c:pt>
                <c:pt idx="120">
                  <c:v>5.6084515558900518</c:v>
                </c:pt>
                <c:pt idx="121">
                  <c:v>2.2302114471027248</c:v>
                </c:pt>
                <c:pt idx="122">
                  <c:v>-8.9574755816277527</c:v>
                </c:pt>
                <c:pt idx="123">
                  <c:v>11.015148364190001</c:v>
                </c:pt>
                <c:pt idx="124">
                  <c:v>-7.2794614326985423</c:v>
                </c:pt>
                <c:pt idx="125">
                  <c:v>-0.32603933538427143</c:v>
                </c:pt>
                <c:pt idx="126">
                  <c:v>7.8206651753210634</c:v>
                </c:pt>
                <c:pt idx="127">
                  <c:v>-11.25026032981232</c:v>
                </c:pt>
                <c:pt idx="128">
                  <c:v>8.773583970776361</c:v>
                </c:pt>
                <c:pt idx="129">
                  <c:v>-1.6504448743548832</c:v>
                </c:pt>
                <c:pt idx="130">
                  <c:v>-6.3985170080948155</c:v>
                </c:pt>
                <c:pt idx="131">
                  <c:v>11.135376168554073</c:v>
                </c:pt>
                <c:pt idx="132">
                  <c:v>-10.036471915869342</c:v>
                </c:pt>
                <c:pt idx="133">
                  <c:v>3.6367971676738167</c:v>
                </c:pt>
                <c:pt idx="134">
                  <c:v>4.7288702484041236</c:v>
                </c:pt>
                <c:pt idx="135">
                  <c:v>-10.663729634243785</c:v>
                </c:pt>
                <c:pt idx="136">
                  <c:v>11.020026957191702</c:v>
                </c:pt>
                <c:pt idx="137">
                  <c:v>-5.5685638770897894</c:v>
                </c:pt>
                <c:pt idx="138">
                  <c:v>-2.8588217780957828</c:v>
                </c:pt>
                <c:pt idx="139">
                  <c:v>9.8402466718262964</c:v>
                </c:pt>
                <c:pt idx="140">
                  <c:v>-11.684163276130421</c:v>
                </c:pt>
                <c:pt idx="141">
                  <c:v>7.3814066229011654</c:v>
                </c:pt>
                <c:pt idx="142">
                  <c:v>0.84335108508537526</c:v>
                </c:pt>
                <c:pt idx="143">
                  <c:v>-8.6816433907314128</c:v>
                </c:pt>
                <c:pt idx="144">
                  <c:v>11.998333450437078</c:v>
                </c:pt>
                <c:pt idx="145">
                  <c:v>-9.0132629673462894</c:v>
                </c:pt>
                <c:pt idx="146">
                  <c:v>1.2563461600544863</c:v>
                </c:pt>
                <c:pt idx="147">
                  <c:v>7.2161287620480579</c:v>
                </c:pt>
                <c:pt idx="148">
                  <c:v>-11.942761726020692</c:v>
                </c:pt>
                <c:pt idx="149">
                  <c:v>10.406470661067541</c:v>
                </c:pt>
                <c:pt idx="150">
                  <c:v>-3.3747642973222196</c:v>
                </c:pt>
                <c:pt idx="151">
                  <c:v>-5.4827159637855409</c:v>
                </c:pt>
                <c:pt idx="152">
                  <c:v>11.50933876466296</c:v>
                </c:pt>
                <c:pt idx="153">
                  <c:v>-11.509783656159666</c:v>
                </c:pt>
                <c:pt idx="154">
                  <c:v>5.4441734120659824</c:v>
                </c:pt>
                <c:pt idx="155">
                  <c:v>3.5301594348818743</c:v>
                </c:pt>
                <c:pt idx="156">
                  <c:v>-10.702142700158074</c:v>
                </c:pt>
                <c:pt idx="157">
                  <c:v>12.28021075118923</c:v>
                </c:pt>
                <c:pt idx="158">
                  <c:v>-7.3968176117916622</c:v>
                </c:pt>
                <c:pt idx="159">
                  <c:v>-1.4155474104842614</c:v>
                </c:pt>
                <c:pt idx="160">
                  <c:v>9.5375633468233652</c:v>
                </c:pt>
                <c:pt idx="161">
                  <c:v>-12.684612753289757</c:v>
                </c:pt>
                <c:pt idx="162">
                  <c:v>9.1671542273092719</c:v>
                </c:pt>
                <c:pt idx="163">
                  <c:v>-0.79740842665704159</c:v>
                </c:pt>
                <c:pt idx="164">
                  <c:v>-8.0440193172204211</c:v>
                </c:pt>
                <c:pt idx="165">
                  <c:v>12.701001246397212</c:v>
                </c:pt>
                <c:pt idx="166">
                  <c:v>-10.694060028335624</c:v>
                </c:pt>
                <c:pt idx="167">
                  <c:v>3.0403339317251445</c:v>
                </c:pt>
                <c:pt idx="168">
                  <c:v>6.2612712016091132</c:v>
                </c:pt>
                <c:pt idx="169">
                  <c:v>-12.319491225375463</c:v>
                </c:pt>
                <c:pt idx="170">
                  <c:v>11.922930675436969</c:v>
                </c:pt>
                <c:pt idx="171">
                  <c:v>-5.2423428739157165</c:v>
                </c:pt>
                <c:pt idx="172">
                  <c:v>-4.2393474021951647</c:v>
                </c:pt>
                <c:pt idx="173">
                  <c:v>11.542870709040232</c:v>
                </c:pt>
                <c:pt idx="174">
                  <c:v>-12.807602204622452</c:v>
                </c:pt>
                <c:pt idx="175">
                  <c:v>7.3323083823019477</c:v>
                </c:pt>
                <c:pt idx="176">
                  <c:v>2.0371122577503948</c:v>
                </c:pt>
                <c:pt idx="177">
                  <c:v>-10.386762639241693</c:v>
                </c:pt>
                <c:pt idx="178">
                  <c:v>13.312028296811508</c:v>
                </c:pt>
                <c:pt idx="179">
                  <c:v>-9.2411822434904334</c:v>
                </c:pt>
                <c:pt idx="180">
                  <c:v>0.27948169517084837</c:v>
                </c:pt>
                <c:pt idx="181">
                  <c:v>8.879367519483262</c:v>
                </c:pt>
                <c:pt idx="182">
                  <c:v>-13.411654281616796</c:v>
                </c:pt>
                <c:pt idx="183">
                  <c:v>10.904286294945292</c:v>
                </c:pt>
                <c:pt idx="184">
                  <c:v>-2.6394045090252978</c:v>
                </c:pt>
                <c:pt idx="185">
                  <c:v>-7.0607889219666156</c:v>
                </c:pt>
                <c:pt idx="186">
                  <c:v>13.094438048683928</c:v>
                </c:pt>
                <c:pt idx="187">
                  <c:v>-12.263500085703948</c:v>
                </c:pt>
                <c:pt idx="188">
                  <c:v>4.9687604898986253</c:v>
                </c:pt>
                <c:pt idx="189">
                  <c:v>4.9819577521553713</c:v>
                </c:pt>
                <c:pt idx="190">
                  <c:v>-12.361479007195598</c:v>
                </c:pt>
                <c:pt idx="191">
                  <c:v>13.26927139662094</c:v>
                </c:pt>
                <c:pt idx="192">
                  <c:v>-7.1931311524136392</c:v>
                </c:pt>
                <c:pt idx="193">
                  <c:v>-2.703184554441997</c:v>
                </c:pt>
                <c:pt idx="194">
                  <c:v>11.227228602454309</c:v>
                </c:pt>
                <c:pt idx="195">
                  <c:v>-13.88238107032598</c:v>
                </c:pt>
                <c:pt idx="196">
                  <c:v>9.2399746594589871</c:v>
                </c:pt>
                <c:pt idx="197">
                  <c:v>0.29238172853343658</c:v>
                </c:pt>
                <c:pt idx="198">
                  <c:v>-9.7192692764370641</c:v>
                </c:pt>
                <c:pt idx="199">
                  <c:v>14.075400762180148</c:v>
                </c:pt>
                <c:pt idx="200">
                  <c:v>-11.041004116090908</c:v>
                </c:pt>
                <c:pt idx="201">
                  <c:v>2.1769911164218163</c:v>
                </c:pt>
                <c:pt idx="202">
                  <c:v>7.8776627190129682</c:v>
                </c:pt>
                <c:pt idx="203">
                  <c:v>-13.833791476084201</c:v>
                </c:pt>
                <c:pt idx="204">
                  <c:v>12.534466770216575</c:v>
                </c:pt>
                <c:pt idx="205">
                  <c:v>-4.6281956975160217</c:v>
                </c:pt>
                <c:pt idx="206">
                  <c:v>-5.7538823478012207</c:v>
                </c:pt>
                <c:pt idx="207">
                  <c:v>13.156601811723469</c:v>
                </c:pt>
                <c:pt idx="208">
                  <c:v>-13.667248400223709</c:v>
                </c:pt>
                <c:pt idx="209">
                  <c:v>6.9836267123160134</c:v>
                </c:pt>
                <c:pt idx="210">
                  <c:v>3.4093587184229261</c:v>
                </c:pt>
                <c:pt idx="211">
                  <c:v>-12.056737379788096</c:v>
                </c:pt>
                <c:pt idx="212">
                  <c:v>14.39673189432839</c:v>
                </c:pt>
                <c:pt idx="213">
                  <c:v>-9.1672902622115693</c:v>
                </c:pt>
                <c:pt idx="214">
                  <c:v>-0.91367955130410516</c:v>
                </c:pt>
                <c:pt idx="215">
                  <c:v>10.560786445077834</c:v>
                </c:pt>
                <c:pt idx="216">
                  <c:v>-14.692346119008148</c:v>
                </c:pt>
                <c:pt idx="217">
                  <c:v>11.107269541572581</c:v>
                </c:pt>
                <c:pt idx="218">
                  <c:v>-1.6575021647428283</c:v>
                </c:pt>
                <c:pt idx="219">
                  <c:v>-8.7084011020896472</c:v>
                </c:pt>
                <c:pt idx="220">
                  <c:v>14.536750427705414</c:v>
                </c:pt>
                <c:pt idx="221">
                  <c:v>-12.738097687542185</c:v>
                </c:pt>
                <c:pt idx="222">
                  <c:v>4.2247883635721708</c:v>
                </c:pt>
                <c:pt idx="223">
                  <c:v>6.5512477166672332</c:v>
                </c:pt>
                <c:pt idx="224">
                  <c:v>-13.926611296641507</c:v>
                </c:pt>
                <c:pt idx="225">
                  <c:v>14.002959680095676</c:v>
                </c:pt>
                <c:pt idx="226">
                  <c:v>-6.7075125425380584</c:v>
                </c:pt>
                <c:pt idx="227">
                  <c:v>-4.151554513811651</c:v>
                </c:pt>
                <c:pt idx="228">
                  <c:v>12.872940249462353</c:v>
                </c:pt>
                <c:pt idx="229">
                  <c:v>-14.855649735306155</c:v>
                </c:pt>
                <c:pt idx="230">
                  <c:v>9.0262950307658247</c:v>
                </c:pt>
                <c:pt idx="231">
                  <c:v>1.5802975934926433</c:v>
                </c:pt>
                <c:pt idx="232">
                  <c:v>-11.40097605074004</c:v>
                </c:pt>
                <c:pt idx="233">
                  <c:v>15.262217624555005</c:v>
                </c:pt>
                <c:pt idx="234">
                  <c:v>-11.10559554029234</c:v>
                </c:pt>
                <c:pt idx="235">
                  <c:v>1.0849211284054343</c:v>
                </c:pt>
                <c:pt idx="236">
                  <c:v>9.5496086737530863</c:v>
                </c:pt>
                <c:pt idx="237">
                  <c:v>-15.202246576643862</c:v>
                </c:pt>
                <c:pt idx="238">
                  <c:v>12.87618072699148</c:v>
                </c:pt>
                <c:pt idx="239">
                  <c:v>-3.7622399358239704</c:v>
                </c:pt>
                <c:pt idx="240">
                  <c:v>-7.3703573172312096</c:v>
                </c:pt>
                <c:pt idx="241">
                  <c:v>14.669716602545332</c:v>
                </c:pt>
                <c:pt idx="242">
                  <c:v>-14.277426210209162</c:v>
                </c:pt>
                <c:pt idx="243">
                  <c:v>6.3680744997401684</c:v>
                </c:pt>
                <c:pt idx="244">
                  <c:v>4.9259292836177773</c:v>
                </c:pt>
                <c:pt idx="245">
                  <c:v>-13.673419881814862</c:v>
                </c:pt>
                <c:pt idx="246">
                  <c:v>15.259376842935193</c:v>
                </c:pt>
                <c:pt idx="247">
                  <c:v>-8.819747038073416</c:v>
                </c:pt>
                <c:pt idx="248">
                  <c:v>-2.2884003658645478</c:v>
                </c:pt>
                <c:pt idx="249">
                  <c:v>12.236908868306044</c:v>
                </c:pt>
                <c:pt idx="250">
                  <c:v>-15.784495874650034</c:v>
                </c:pt>
                <c:pt idx="251">
                  <c:v>11.038124319439225</c:v>
                </c:pt>
                <c:pt idx="252">
                  <c:v>-0.46292993294246765</c:v>
                </c:pt>
                <c:pt idx="253">
                  <c:v>-10.397972570592428</c:v>
                </c:pt>
                <c:pt idx="254">
                  <c:v>15.829042810687451</c:v>
                </c:pt>
                <c:pt idx="255">
                  <c:v>-12.950180086998888</c:v>
                </c:pt>
                <c:pt idx="256">
                  <c:v>3.243943923065971</c:v>
                </c:pt>
                <c:pt idx="257">
                  <c:v>8.2076515701603814</c:v>
                </c:pt>
                <c:pt idx="258">
                  <c:v>-15.384030972779922</c:v>
                </c:pt>
                <c:pt idx="259">
                  <c:v>14.491398886619567</c:v>
                </c:pt>
                <c:pt idx="260">
                  <c:v>-5.9682984216669954</c:v>
                </c:pt>
                <c:pt idx="261">
                  <c:v>-5.7288172744123322</c:v>
                </c:pt>
                <c:pt idx="262">
                  <c:v>14.455728665276776</c:v>
                </c:pt>
                <c:pt idx="263">
                  <c:v>-15.607942376663139</c:v>
                </c:pt>
                <c:pt idx="264">
                  <c:v>8.5501241594857564</c:v>
                </c:pt>
                <c:pt idx="265">
                  <c:v>3.0343551795439967</c:v>
                </c:pt>
                <c:pt idx="266">
                  <c:v>-13.065682052088803</c:v>
                </c:pt>
                <c:pt idx="267">
                  <c:v>16.258505869420098</c:v>
                </c:pt>
                <c:pt idx="268">
                  <c:v>-10.906747068287237</c:v>
                </c:pt>
                <c:pt idx="269">
                  <c:v>-0.205005074951146</c:v>
                </c:pt>
                <c:pt idx="270">
                  <c:v>11.250252907300474</c:v>
                </c:pt>
                <c:pt idx="271">
                  <c:v>-16.415801918107395</c:v>
                </c:pt>
                <c:pt idx="272">
                  <c:v>12.961344915636515</c:v>
                </c:pt>
                <c:pt idx="273">
                  <c:v>-2.6730772778903025</c:v>
                </c:pt>
                <c:pt idx="274">
                  <c:v>-9.0596798425017937</c:v>
                </c:pt>
                <c:pt idx="275">
                  <c:v>16.067618950948059</c:v>
                </c:pt>
                <c:pt idx="276">
                  <c:v>-14.645453807683788</c:v>
                </c:pt>
                <c:pt idx="277">
                  <c:v>5.5109628006321847</c:v>
                </c:pt>
                <c:pt idx="278">
                  <c:v>6.5566869445206812</c:v>
                </c:pt>
                <c:pt idx="279">
                  <c:v>-15.21741592713748</c:v>
                </c:pt>
                <c:pt idx="280">
                  <c:v>15.901242883286132</c:v>
                </c:pt>
                <c:pt idx="281">
                  <c:v>-8.2197145091453052</c:v>
                </c:pt>
                <c:pt idx="282">
                  <c:v>-3.8146784861877414</c:v>
                </c:pt>
                <c:pt idx="283">
                  <c:v>13.884428350416144</c:v>
                </c:pt>
                <c:pt idx="284">
                  <c:v>-16.683481979169464</c:v>
                </c:pt>
                <c:pt idx="285">
                  <c:v>10.713189246095876</c:v>
                </c:pt>
                <c:pt idx="286">
                  <c:v>0.91557202169731988</c:v>
                </c:pt>
                <c:pt idx="287">
                  <c:v>-12.103276278042893</c:v>
                </c:pt>
                <c:pt idx="288">
                  <c:v>16.961135975136635</c:v>
                </c:pt>
                <c:pt idx="289">
                  <c:v>-12.910787155289981</c:v>
                </c:pt>
                <c:pt idx="290">
                  <c:v>2.052665699339927</c:v>
                </c:pt>
                <c:pt idx="291">
                  <c:v>9.9230807258593856</c:v>
                </c:pt>
                <c:pt idx="292">
                  <c:v>-16.718530669010612</c:v>
                </c:pt>
                <c:pt idx="293">
                  <c:v>14.740060978328076</c:v>
                </c:pt>
                <c:pt idx="294">
                  <c:v>-4.9987053723969854</c:v>
                </c:pt>
                <c:pt idx="295">
                  <c:v>-7.4061105943759467</c:v>
                </c:pt>
                <c:pt idx="296">
                  <c:v>15.956048048413022</c:v>
                </c:pt>
                <c:pt idx="297">
                  <c:v>-16.139100726467543</c:v>
                </c:pt>
                <c:pt idx="298">
                  <c:v>7.8306817871410548</c:v>
                </c:pt>
                <c:pt idx="299">
                  <c:v>4.6259974235698715</c:v>
                </c:pt>
                <c:pt idx="300">
                  <c:v>-14.690323322975548</c:v>
                </c:pt>
                <c:pt idx="301">
                  <c:v>17.058615480854421</c:v>
                </c:pt>
                <c:pt idx="302">
                  <c:v>-10.459072568643116</c:v>
                </c:pt>
                <c:pt idx="303">
                  <c:v>-1.6655694359303301</c:v>
                </c:pt>
                <c:pt idx="304">
                  <c:v>12.953931607762375</c:v>
                </c:pt>
                <c:pt idx="305">
                  <c:v>-17.463642831111724</c:v>
                </c:pt>
                <c:pt idx="306">
                  <c:v>12.799538467829127</c:v>
                </c:pt>
                <c:pt idx="307">
                  <c:v>-1.3856310138492554</c:v>
                </c:pt>
                <c:pt idx="308">
                  <c:v>-10.794568221245923</c:v>
                </c:pt>
                <c:pt idx="309">
                  <c:v>17.334827520770741</c:v>
                </c:pt>
                <c:pt idx="310">
                  <c:v>-14.775634886267854</c:v>
                </c:pt>
                <c:pt idx="311">
                  <c:v>4.4340717148404725</c:v>
                </c:pt>
                <c:pt idx="312">
                  <c:v>8.2737426720517551</c:v>
                </c:pt>
                <c:pt idx="313">
                  <c:v>-16.669223897810685</c:v>
                </c:pt>
                <c:pt idx="314">
                  <c:v>16.321307422224873</c:v>
                </c:pt>
                <c:pt idx="315">
                  <c:v>-7.3851132557094452</c:v>
                </c:pt>
                <c:pt idx="316">
                  <c:v>-5.4650220455514908</c:v>
                </c:pt>
                <c:pt idx="317">
                  <c:v>15.480591373437708</c:v>
                </c:pt>
                <c:pt idx="318">
                  <c:v>-17.383090129486352</c:v>
                </c:pt>
                <c:pt idx="319">
                  <c:v>10.14596079811122</c:v>
                </c:pt>
                <c:pt idx="320">
                  <c:v>2.4518741614753843</c:v>
                </c:pt>
                <c:pt idx="321">
                  <c:v>-13.799167822406556</c:v>
                </c:pt>
                <c:pt idx="322">
                  <c:v>17.921933725895567</c:v>
                </c:pt>
                <c:pt idx="323">
                  <c:v>-12.628592563166153</c:v>
                </c:pt>
                <c:pt idx="324">
                  <c:v>0.67482591717206242</c:v>
                </c:pt>
                <c:pt idx="325">
                  <c:v>11.670922224056616</c:v>
                </c:pt>
                <c:pt idx="326">
                  <c:v>-17.91460192821604</c:v>
                </c:pt>
                <c:pt idx="327">
                  <c:v>14.752572384268333</c:v>
                </c:pt>
                <c:pt idx="328">
                  <c:v>-3.8195511202170271</c:v>
                </c:pt>
                <c:pt idx="329">
                  <c:v>-9.1563043308212926</c:v>
                </c:pt>
                <c:pt idx="330">
                  <c:v>17.354587098499909</c:v>
                </c:pt>
                <c:pt idx="331">
                  <c:v>-16.447656371937061</c:v>
                </c:pt>
                <c:pt idx="332">
                  <c:v>6.8850553856058072</c:v>
                </c:pt>
                <c:pt idx="333">
                  <c:v>6.3285252377530901</c:v>
                </c:pt>
                <c:pt idx="334">
                  <c:v>-16.252511070820049</c:v>
                </c:pt>
                <c:pt idx="335">
                  <c:v>17.656109305038218</c:v>
                </c:pt>
                <c:pt idx="336">
                  <c:v>-9.7753939971376838</c:v>
                </c:pt>
                <c:pt idx="337">
                  <c:v>-3.2714178988646929</c:v>
                </c:pt>
                <c:pt idx="338">
                  <c:v>14.635992935612069</c:v>
                </c:pt>
                <c:pt idx="339">
                  <c:v>-18.334654657691832</c:v>
                </c:pt>
                <c:pt idx="340">
                  <c:v>12.398937096303889</c:v>
                </c:pt>
                <c:pt idx="341">
                  <c:v>7.6940403523417328E-2</c:v>
                </c:pt>
                <c:pt idx="342">
                  <c:v>-12.548982198872839</c:v>
                </c:pt>
                <c:pt idx="343">
                  <c:v>18.455992954135951</c:v>
                </c:pt>
                <c:pt idx="344">
                  <c:v>-14.671281471529806</c:v>
                </c:pt>
                <c:pt idx="345">
                  <c:v>3.1576032592608323</c:v>
                </c:pt>
                <c:pt idx="346">
                  <c:v>10.050572584276454</c:v>
                </c:pt>
                <c:pt idx="347">
                  <c:v>-18.009836096049355</c:v>
                </c:pt>
                <c:pt idx="348">
                  <c:v>16.517967972222465</c:v>
                </c:pt>
                <c:pt idx="349">
                  <c:v>-6.3325405543372915</c:v>
                </c:pt>
                <c:pt idx="350">
                  <c:v>-7.2133282766251083</c:v>
                </c:pt>
                <c:pt idx="351">
                  <c:v>17.003420037717849</c:v>
                </c:pt>
                <c:pt idx="352">
                  <c:v>-17.876917088578011</c:v>
                </c:pt>
                <c:pt idx="353">
                  <c:v>9.3489143844484968</c:v>
                </c:pt>
                <c:pt idx="354">
                  <c:v>4.121170088311926</c:v>
                </c:pt>
                <c:pt idx="355">
                  <c:v>-15.461474243953855</c:v>
                </c:pt>
                <c:pt idx="356">
                  <c:v>18.700503242554305</c:v>
                </c:pt>
                <c:pt idx="357">
                  <c:v>-12.111577946058953</c:v>
                </c:pt>
                <c:pt idx="358">
                  <c:v>-0.86688336363685314</c:v>
                </c:pt>
                <c:pt idx="359">
                  <c:v>13.425643257688293</c:v>
                </c:pt>
                <c:pt idx="360">
                  <c:v>-18.957198923360075</c:v>
                </c:pt>
                <c:pt idx="361">
                  <c:v>14.532203408242841</c:v>
                </c:pt>
                <c:pt idx="362">
                  <c:v>-2.4506780467477798</c:v>
                </c:pt>
                <c:pt idx="363">
                  <c:v>-10.95337290234548</c:v>
                </c:pt>
                <c:pt idx="364">
                  <c:v>18.632732660027447</c:v>
                </c:pt>
                <c:pt idx="365">
                  <c:v>-16.532109124741186</c:v>
                </c:pt>
                <c:pt idx="366">
                  <c:v>5.7296071186441857</c:v>
                </c:pt>
                <c:pt idx="367">
                  <c:v>8.1162906076659738</c:v>
                </c:pt>
                <c:pt idx="368">
                  <c:v>-17.730719568522293</c:v>
                </c:pt>
                <c:pt idx="369">
                  <c:v>18.044814868050164</c:v>
                </c:pt>
                <c:pt idx="370">
                  <c:v>-8.868085952993054</c:v>
                </c:pt>
                <c:pt idx="371">
                  <c:v>-4.9981255390926274</c:v>
                </c:pt>
                <c:pt idx="372">
                  <c:v>16.272739392056195</c:v>
                </c:pt>
                <c:pt idx="373">
                  <c:v>-19.018242249029814</c:v>
                </c:pt>
                <c:pt idx="374">
                  <c:v>11.767557817996137</c:v>
                </c:pt>
                <c:pt idx="375">
                  <c:v>1.6922291123629802</c:v>
                </c:pt>
                <c:pt idx="376">
                  <c:v>-14.297854073012843</c:v>
                </c:pt>
                <c:pt idx="377">
                  <c:v>19.416487838947599</c:v>
                </c:pt>
                <c:pt idx="378">
                  <c:v>-14.33582984793852</c:v>
                </c:pt>
                <c:pt idx="379">
                  <c:v>1.7012303945693061</c:v>
                </c:pt>
                <c:pt idx="380">
                  <c:v>11.861574421363347</c:v>
                </c:pt>
                <c:pt idx="381">
                  <c:v>-19.22110923967011</c:v>
                </c:pt>
                <c:pt idx="382">
                  <c:v>16.490008548437178</c:v>
                </c:pt>
                <c:pt idx="383">
                  <c:v>-5.0783144901290322</c:v>
                </c:pt>
                <c:pt idx="384">
                  <c:v>-9.0343028286961289</c:v>
                </c:pt>
                <c:pt idx="385">
                  <c:v>18.431879071588213</c:v>
                </c:pt>
                <c:pt idx="386">
                  <c:v>-18.159174583905536</c:v>
                </c:pt>
                <c:pt idx="387">
                  <c:v>8.3345093694116503</c:v>
                </c:pt>
                <c:pt idx="388">
                  <c:v>5.8992956698938732</c:v>
                </c:pt>
                <c:pt idx="389">
                  <c:v>-17.066978120593248</c:v>
                </c:pt>
                <c:pt idx="390">
                  <c:v>19.286710627681632</c:v>
                </c:pt>
                <c:pt idx="391">
                  <c:v>-11.367970539980059</c:v>
                </c:pt>
                <c:pt idx="392">
                  <c:v>-2.5502045050545221</c:v>
                </c:pt>
                <c:pt idx="393">
                  <c:v>15.162616206181717</c:v>
                </c:pt>
                <c:pt idx="394">
                  <c:v>-19.832206134763659</c:v>
                </c:pt>
                <c:pt idx="395">
                  <c:v>14.082716176192044</c:v>
                </c:pt>
                <c:pt idx="396">
                  <c:v>-0.91173105567975254</c:v>
                </c:pt>
                <c:pt idx="397">
                  <c:v>-12.772087166064997</c:v>
                </c:pt>
                <c:pt idx="398">
                  <c:v>19.772875457034715</c:v>
                </c:pt>
                <c:pt idx="399">
                  <c:v>-16.39166888468597</c:v>
                </c:pt>
                <c:pt idx="400">
                  <c:v>4.3807543783072775</c:v>
                </c:pt>
                <c:pt idx="401">
                  <c:v>9.9642821419220144</c:v>
                </c:pt>
                <c:pt idx="402">
                  <c:v>-19.104440387423104</c:v>
                </c:pt>
                <c:pt idx="403">
                  <c:v>18.219449398478904</c:v>
                </c:pt>
                <c:pt idx="404">
                  <c:v>-7.7498332424396423</c:v>
                </c:pt>
                <c:pt idx="405">
                  <c:v>-6.821702536481232</c:v>
                </c:pt>
                <c:pt idx="406">
                  <c:v>17.84144454875436</c:v>
                </c:pt>
                <c:pt idx="407">
                  <c:v>-19.504832613037159</c:v>
                </c:pt>
                <c:pt idx="408">
                  <c:v>10.913972031306646</c:v>
                </c:pt>
                <c:pt idx="409">
                  <c:v>3.4380300485989328</c:v>
                </c:pt>
                <c:pt idx="410">
                  <c:v>-16.016984535931542</c:v>
                </c:pt>
                <c:pt idx="411">
                  <c:v>20.202786143077489</c:v>
                </c:pt>
                <c:pt idx="412">
                  <c:v>-13.773491908823329</c:v>
                </c:pt>
                <c:pt idx="413">
                  <c:v>8.4674432791556425E-2</c:v>
                </c:pt>
                <c:pt idx="414">
                  <c:v>13.68186083649789</c:v>
                </c:pt>
                <c:pt idx="415">
                  <c:v>-20.28602393092612</c:v>
                </c:pt>
                <c:pt idx="416">
                  <c:v>16.237176306681924</c:v>
                </c:pt>
                <c:pt idx="417">
                  <c:v>-3.6390590477791611</c:v>
                </c:pt>
                <c:pt idx="418">
                  <c:v>-10.903169730797876</c:v>
                </c:pt>
                <c:pt idx="419">
                  <c:v>19.746022009096894</c:v>
                </c:pt>
                <c:pt idx="420">
                  <c:v>-18.225182351672821</c:v>
                </c:pt>
                <c:pt idx="421">
                  <c:v>7.1157625518997296</c:v>
                </c:pt>
                <c:pt idx="422">
                  <c:v>7.7623750389866863</c:v>
                </c:pt>
                <c:pt idx="423">
                  <c:v>-18.593459872057782</c:v>
                </c:pt>
                <c:pt idx="424">
                  <c:v>19.671625311020421</c:v>
                </c:pt>
                <c:pt idx="425">
                  <c:v>-10.406788660606573</c:v>
                </c:pt>
                <c:pt idx="426">
                  <c:v>-4.3529151795059358</c:v>
                </c:pt>
                <c:pt idx="427">
                  <c:v>16.858068546508267</c:v>
                </c:pt>
                <c:pt idx="428">
                  <c:v>-20.526752545544209</c:v>
                </c:pt>
                <c:pt idx="429">
                  <c:v>13.408868771811864</c:v>
                </c:pt>
                <c:pt idx="430">
                  <c:v>0.77741600303910718</c:v>
                </c:pt>
                <c:pt idx="431">
                  <c:v>-14.587884822854196</c:v>
                </c:pt>
                <c:pt idx="432">
                  <c:v>20.758635564533311</c:v>
                </c:pt>
                <c:pt idx="433">
                  <c:v>-16.026708151729359</c:v>
                </c:pt>
                <c:pt idx="434">
                  <c:v>2.8554072149689245</c:v>
                </c:pt>
                <c:pt idx="435">
                  <c:v>11.847929653234333</c:v>
                </c:pt>
                <c:pt idx="436">
                  <c:v>-20.354323215163987</c:v>
                </c:pt>
                <c:pt idx="437">
                  <c:v>18.176013412462478</c:v>
                </c:pt>
                <c:pt idx="438">
                  <c:v>-6.4340648238625011</c:v>
                </c:pt>
                <c:pt idx="439">
                  <c:v>-8.7183468532633182</c:v>
                </c:pt>
                <c:pt idx="440">
                  <c:v>19.320415378676611</c:v>
                </c:pt>
                <c:pt idx="441">
                  <c:v>-19.786205071311439</c:v>
                </c:pt>
                <c:pt idx="442">
                  <c:v>9.8477235214574428</c:v>
                </c:pt>
                <c:pt idx="443">
                  <c:v>5.2920553947632243</c:v>
                </c:pt>
                <c:pt idx="444">
                  <c:v>-17.68303428874599</c:v>
                </c:pt>
                <c:pt idx="445">
                  <c:v>20.802728000007583</c:v>
                </c:pt>
                <c:pt idx="446">
                  <c:v>-12.9896469233086</c:v>
                </c:pt>
                <c:pt idx="447">
                  <c:v>-1.6719842003195193</c:v>
                </c:pt>
                <c:pt idx="448">
                  <c:v>15.487189189895521</c:v>
                </c:pt>
                <c:pt idx="449">
                  <c:v>-21.188884388642503</c:v>
                </c:pt>
                <c:pt idx="450">
                  <c:v>15.760538959831123</c:v>
                </c:pt>
                <c:pt idx="451">
                  <c:v>-2.0320280536089368</c:v>
                </c:pt>
                <c:pt idx="452">
                  <c:v>-12.795548939737253</c:v>
                </c:pt>
                <c:pt idx="453">
                  <c:v>20.927128115661723</c:v>
                </c:pt>
                <c:pt idx="454">
                  <c:v>-18.071685228332591</c:v>
                </c:pt>
                <c:pt idx="455">
                  <c:v>5.706574491057653</c:v>
                </c:pt>
                <c:pt idx="456">
                  <c:v>9.6866557396241912</c:v>
                </c:pt>
                <c:pt idx="457">
                  <c:v>-20.019775704713325</c:v>
                </c:pt>
                <c:pt idx="458">
                  <c:v>19.847792864406856</c:v>
                </c:pt>
                <c:pt idx="459">
                  <c:v>-9.2381610226246984</c:v>
                </c:pt>
                <c:pt idx="460">
                  <c:v>-6.2526308704882556</c:v>
                </c:pt>
                <c:pt idx="461">
                  <c:v>18.489106867140794</c:v>
                </c:pt>
                <c:pt idx="462">
                  <c:v>-21.029438082534753</c:v>
                </c:pt>
                <c:pt idx="463">
                  <c:v>12.516719662886103</c:v>
                </c:pt>
                <c:pt idx="464">
                  <c:v>2.5964395539062508</c:v>
                </c:pt>
                <c:pt idx="465">
                  <c:v>-16.376846430199702</c:v>
                </c:pt>
                <c:pt idx="466">
                  <c:v>21.575042024088813</c:v>
                </c:pt>
                <c:pt idx="467">
                  <c:v>-15.439045205893136</c:v>
                </c:pt>
                <c:pt idx="468">
                  <c:v>1.1712036654267168</c:v>
                </c:pt>
                <c:pt idx="469">
                  <c:v>13.74303865537275</c:v>
                </c:pt>
                <c:pt idx="470">
                  <c:v>-21.462309605750896</c:v>
                </c:pt>
                <c:pt idx="471">
                  <c:v>17.912047798312976</c:v>
                </c:pt>
                <c:pt idx="472">
                  <c:v>-4.9351957723704558</c:v>
                </c:pt>
                <c:pt idx="473">
                  <c:v>-10.664343961332923</c:v>
                </c:pt>
                <c:pt idx="474">
                  <c:v>20.689082262364629</c:v>
                </c:pt>
                <c:pt idx="475">
                  <c:v>-19.855718826473442</c:v>
                </c:pt>
                <c:pt idx="476">
                  <c:v>8.5795700945050672</c:v>
                </c:pt>
                <c:pt idx="477">
                  <c:v>7.2318062870729927</c:v>
                </c:pt>
                <c:pt idx="478">
                  <c:v>-19.273573335540302</c:v>
                </c:pt>
                <c:pt idx="479">
                  <c:v>21.205715646553458</c:v>
                </c:pt>
                <c:pt idx="480">
                  <c:v>-11.991076890368332</c:v>
                </c:pt>
                <c:pt idx="481">
                  <c:v>-3.5481561874353074</c:v>
                </c:pt>
                <c:pt idx="482">
                  <c:v>17.25397382771672</c:v>
                </c:pt>
                <c:pt idx="483">
                  <c:v>-21.915481807430723</c:v>
                </c:pt>
                <c:pt idx="484">
                  <c:v>15.062708943266834</c:v>
                </c:pt>
                <c:pt idx="485">
                  <c:v>-0.2752702907554947</c:v>
                </c:pt>
                <c:pt idx="486">
                  <c:v>-14.687435736678786</c:v>
                </c:pt>
                <c:pt idx="487">
                  <c:v>21.957833218127774</c:v>
                </c:pt>
                <c:pt idx="488">
                  <c:v>-17.697062240105115</c:v>
                </c:pt>
                <c:pt idx="489">
                  <c:v>4.1219043286055115</c:v>
                </c:pt>
                <c:pt idx="490">
                  <c:v>11.648459603544572</c:v>
                </c:pt>
                <c:pt idx="491">
                  <c:v>-21.325956785374824</c:v>
                </c:pt>
                <c:pt idx="492">
                  <c:v>19.809426094260342</c:v>
                </c:pt>
                <c:pt idx="493">
                  <c:v>-7.8735062441081523</c:v>
                </c:pt>
                <c:pt idx="494">
                  <c:v>-8.2267316411037346</c:v>
                </c:pt>
                <c:pt idx="495">
                  <c:v>20.033785906538537</c:v>
                </c:pt>
                <c:pt idx="496">
                  <c:v>-21.330504674078053</c:v>
                </c:pt>
                <c:pt idx="497">
                  <c:v>11.413807515766997</c:v>
                </c:pt>
                <c:pt idx="498">
                  <c:v>4.5244732702721997</c:v>
                </c:pt>
                <c:pt idx="499">
                  <c:v>-18.115736305109888</c:v>
                </c:pt>
                <c:pt idx="500">
                  <c:v>22.208682610026891</c:v>
                </c:pt>
                <c:pt idx="501">
                  <c:v>-14.63212052572973</c:v>
                </c:pt>
                <c:pt idx="502">
                  <c:v>-0.6533815265489753</c:v>
                </c:pt>
                <c:pt idx="503">
                  <c:v>15.625805453160629</c:v>
                </c:pt>
                <c:pt idx="504">
                  <c:v>-22.411760863303481</c:v>
                </c:pt>
                <c:pt idx="505">
                  <c:v>17.426803781420979</c:v>
                </c:pt>
                <c:pt idx="506">
                  <c:v>-3.2687478950156104</c:v>
                </c:pt>
                <c:pt idx="507">
                  <c:v>-12.636058626840441</c:v>
                </c:pt>
                <c:pt idx="508">
                  <c:v>21.928104944681724</c:v>
                </c:pt>
                <c:pt idx="509">
                  <c:v>-19.708474022633187</c:v>
                </c:pt>
                <c:pt idx="510">
                  <c:v>7.1216126393548445</c:v>
                </c:pt>
                <c:pt idx="511">
                  <c:v>9.2345438699706861</c:v>
                </c:pt>
                <c:pt idx="512">
                  <c:v>-20.767165396659315</c:v>
                </c:pt>
                <c:pt idx="513">
                  <c:v>21.402863674603914</c:v>
                </c:pt>
                <c:pt idx="514">
                  <c:v>-10.786100977207685</c:v>
                </c:pt>
                <c:pt idx="515">
                  <c:v>-5.5226961941051478</c:v>
                </c:pt>
                <c:pt idx="516">
                  <c:v>18.959349652310564</c:v>
                </c:pt>
                <c:pt idx="517">
                  <c:v>-22.453232370946981</c:v>
                </c:pt>
                <c:pt idx="518">
                  <c:v>14.147980537429072</c:v>
                </c:pt>
                <c:pt idx="519">
                  <c:v>1.6123076506147465</c:v>
                </c:pt>
                <c:pt idx="520">
                  <c:v>-16.555244372456279</c:v>
                </c:pt>
                <c:pt idx="521">
                  <c:v>22.822254445935485</c:v>
                </c:pt>
                <c:pt idx="522">
                  <c:v>-17.101464076126216</c:v>
                </c:pt>
                <c:pt idx="523">
                  <c:v>2.3778460488097677</c:v>
                </c:pt>
                <c:pt idx="524">
                  <c:v>13.624207522018438</c:v>
                </c:pt>
                <c:pt idx="525">
                  <c:v>-22.493319993876959</c:v>
                </c:pt>
                <c:pt idx="526">
                  <c:v>19.55254085549532</c:v>
                </c:pt>
                <c:pt idx="527">
                  <c:v>-6.325620365332977</c:v>
                </c:pt>
                <c:pt idx="528">
                  <c:v>-10.252369149959815</c:v>
                </c:pt>
                <c:pt idx="529">
                  <c:v>21.471204842802706</c:v>
                </c:pt>
                <c:pt idx="530">
                  <c:v>-21.421968673098309</c:v>
                </c:pt>
                <c:pt idx="531">
                  <c:v>10.109247990172578</c:v>
                </c:pt>
                <c:pt idx="532">
                  <c:v>6.540098469303306</c:v>
                </c:pt>
                <c:pt idx="533">
                  <c:v>-19.782084052145358</c:v>
                </c:pt>
                <c:pt idx="534">
                  <c:v>22.647831357214489</c:v>
                </c:pt>
                <c:pt idx="535">
                  <c:v>-13.611101032591627</c:v>
                </c:pt>
                <c:pt idx="536">
                  <c:v>-2.5990118061842868</c:v>
                </c:pt>
                <c:pt idx="537">
                  <c:v>17.47288373046143</c:v>
                </c:pt>
                <c:pt idx="538">
                  <c:v>-23.187579345041474</c:v>
                </c:pt>
                <c:pt idx="539">
                  <c:v>16.7213529235386</c:v>
                </c:pt>
                <c:pt idx="540">
                  <c:v>-1.4513892380549411</c:v>
                </c:pt>
                <c:pt idx="541">
                  <c:v>-14.609986458000401</c:v>
                </c:pt>
                <c:pt idx="542">
                  <c:v>23.019486409540399</c:v>
                </c:pt>
                <c:pt idx="543">
                  <c:v>-19.341425904641735</c:v>
                </c:pt>
                <c:pt idx="544">
                  <c:v>5.4873479663555669</c:v>
                </c:pt>
                <c:pt idx="545">
                  <c:v>11.277325754662959</c:v>
                </c:pt>
                <c:pt idx="546">
                  <c:v>-22.143473235638623</c:v>
                </c:pt>
                <c:pt idx="547">
                  <c:v>21.387115818059922</c:v>
                </c:pt>
                <c:pt idx="548">
                  <c:v>-9.3846406264660853</c:v>
                </c:pt>
                <c:pt idx="549">
                  <c:v>-7.5739242277242118</c:v>
                </c:pt>
                <c:pt idx="550">
                  <c:v>20.581267833264789</c:v>
                </c:pt>
                <c:pt idx="551">
                  <c:v>-22.791295159944394</c:v>
                </c:pt>
                <c:pt idx="552">
                  <c:v>13.022406165573713</c:v>
                </c:pt>
                <c:pt idx="553">
                  <c:v>3.6109476626250636</c:v>
                </c:pt>
                <c:pt idx="554">
                  <c:v>-18.375893124938546</c:v>
                </c:pt>
                <c:pt idx="555">
                  <c:v>23.506107745993379</c:v>
                </c:pt>
                <c:pt idx="556">
                  <c:v>-16.286899452724626</c:v>
                </c:pt>
                <c:pt idx="557">
                  <c:v>0.4916371742093929</c:v>
                </c:pt>
                <c:pt idx="558">
                  <c:v>15.590492833748865</c:v>
                </c:pt>
                <c:pt idx="559">
                  <c:v>-23.504583496010206</c:v>
                </c:pt>
                <c:pt idx="560">
                  <c:v>19.075051278996199</c:v>
                </c:pt>
                <c:pt idx="561">
                  <c:v>-4.6087003656177723</c:v>
                </c:pt>
                <c:pt idx="562">
                  <c:v>-12.306527380888635</c:v>
                </c:pt>
                <c:pt idx="563">
                  <c:v>22.781619323890631</c:v>
                </c:pt>
                <c:pt idx="564">
                  <c:v>-21.297723633050428</c:v>
                </c:pt>
                <c:pt idx="565">
                  <c:v>8.6137718019793468</c:v>
                </c:pt>
                <c:pt idx="566">
                  <c:v>8.6213912389052076</c:v>
                </c:pt>
                <c:pt idx="567">
                  <c:v>-21.354291391717954</c:v>
                </c:pt>
                <c:pt idx="568">
                  <c:v>22.882557431487957</c:v>
                </c:pt>
                <c:pt idx="569">
                  <c:v>-12.382932276022142</c:v>
                </c:pt>
                <c:pt idx="570">
                  <c:v>-4.6455214597331072</c:v>
                </c:pt>
                <c:pt idx="571">
                  <c:v>19.261484464733805</c:v>
                </c:pt>
                <c:pt idx="572">
                  <c:v>-23.776321812533947</c:v>
                </c:pt>
                <c:pt idx="573">
                  <c:v>15.798652821091553</c:v>
                </c:pt>
                <c:pt idx="574">
                  <c:v>0.49908332799803667</c:v>
                </c:pt>
                <c:pt idx="575">
                  <c:v>-16.562845159959263</c:v>
                </c:pt>
                <c:pt idx="576">
                  <c:v>23.946688927845706</c:v>
                </c:pt>
                <c:pt idx="577">
                  <c:v>-18.75346319769633</c:v>
                </c:pt>
                <c:pt idx="578">
                  <c:v>3.6916672375460555</c:v>
                </c:pt>
                <c:pt idx="579">
                  <c:v>13.33708686490422</c:v>
                </c:pt>
                <c:pt idx="580">
                  <c:v>-23.383375450076553</c:v>
                </c:pt>
                <c:pt idx="581">
                  <c:v>21.153334929351459</c:v>
                </c:pt>
                <c:pt idx="582">
                  <c:v>-7.7982342376863203</c:v>
                </c:pt>
                <c:pt idx="583">
                  <c:v>-9.6796943625376137</c:v>
                </c:pt>
                <c:pt idx="584">
                  <c:v>22.098611231374957</c:v>
                </c:pt>
                <c:pt idx="585">
                  <c:v>-22.920672366209399</c:v>
                </c:pt>
                <c:pt idx="586">
                  <c:v>11.693827481812409</c:v>
                </c:pt>
                <c:pt idx="587">
                  <c:v>5.7000951007816978</c:v>
                </c:pt>
                <c:pt idx="588">
                  <c:v>-20.126916116974655</c:v>
                </c:pt>
                <c:pt idx="589">
                  <c:v>23.996816687541163</c:v>
                </c:pt>
                <c:pt idx="590">
                  <c:v>-15.257282467049352</c:v>
                </c:pt>
                <c:pt idx="591">
                  <c:v>-1.5183809942855226</c:v>
                </c:pt>
                <c:pt idx="592">
                  <c:v>17.524187208084044</c:v>
                </c:pt>
                <c:pt idx="593">
                  <c:v>-24.343982206335188</c:v>
                </c:pt>
                <c:pt idx="594">
                  <c:v>18.376832913569938</c:v>
                </c:pt>
                <c:pt idx="595">
                  <c:v>-2.7383208949403977</c:v>
                </c:pt>
                <c:pt idx="596">
                  <c:v>-14.366120224041126</c:v>
                </c:pt>
                <c:pt idx="597">
                  <c:v>23.946561383385937</c:v>
                </c:pt>
                <c:pt idx="598">
                  <c:v>-20.953618393244618</c:v>
                </c:pt>
                <c:pt idx="599">
                  <c:v>6.9397189474641863</c:v>
                </c:pt>
                <c:pt idx="600">
                  <c:v>10.746009372350196</c:v>
                </c:pt>
                <c:pt idx="601">
                  <c:v>-22.811754080450914</c:v>
                </c:pt>
                <c:pt idx="602">
                  <c:v>22.904816925807332</c:v>
                </c:pt>
                <c:pt idx="603">
                  <c:v>-10.956350822991206</c:v>
                </c:pt>
                <c:pt idx="604">
                  <c:v>-6.7719896503571864</c:v>
                </c:pt>
                <c:pt idx="605">
                  <c:v>20.969497203124746</c:v>
                </c:pt>
                <c:pt idx="606">
                  <c:v>-24.166303311860691</c:v>
                </c:pt>
                <c:pt idx="607">
                  <c:v>14.663577949321869</c:v>
                </c:pt>
                <c:pt idx="608">
                  <c:v>2.5638031597120454</c:v>
                </c:pt>
                <c:pt idx="609">
                  <c:v>-18.47169237339142</c:v>
                </c:pt>
                <c:pt idx="610">
                  <c:v>24.694748008968258</c:v>
                </c:pt>
                <c:pt idx="611">
                  <c:v>-17.945457268437359</c:v>
                </c:pt>
                <c:pt idx="612">
                  <c:v>1.7508137429481905</c:v>
                </c:pt>
                <c:pt idx="613">
                  <c:v>15.39075096854434</c:v>
                </c:pt>
                <c:pt idx="614">
                  <c:v>-24.469088119856917</c:v>
                </c:pt>
                <c:pt idx="615">
                  <c:v>20.698369858302641</c:v>
                </c:pt>
                <c:pt idx="616">
                  <c:v>-6.0400132970419085</c:v>
                </c:pt>
                <c:pt idx="617">
                  <c:v>-11.817497096266028</c:v>
                </c:pt>
                <c:pt idx="618">
                  <c:v>23.491321047035882</c:v>
                </c:pt>
                <c:pt idx="619">
                  <c:v>-22.834292809028398</c:v>
                </c:pt>
                <c:pt idx="620">
                  <c:v>10.171870992843157</c:v>
                </c:pt>
                <c:pt idx="621">
                  <c:v>7.8584891838747311</c:v>
                </c:pt>
                <c:pt idx="622">
                  <c:v>-21.786592001655418</c:v>
                </c:pt>
                <c:pt idx="623">
                  <c:v>24.283611051176244</c:v>
                </c:pt>
                <c:pt idx="624">
                  <c:v>-14.018448399682732</c:v>
                </c:pt>
                <c:pt idx="625">
                  <c:v>-3.63283921364203</c:v>
                </c:pt>
                <c:pt idx="626">
                  <c:v>19.40256820614966</c:v>
                </c:pt>
                <c:pt idx="627">
                  <c:v>-24.997379413095739</c:v>
                </c:pt>
                <c:pt idx="628">
                  <c:v>17.459758897753627</c:v>
                </c:pt>
                <c:pt idx="629">
                  <c:v>-0.73137534404389648</c:v>
                </c:pt>
                <c:pt idx="630">
                  <c:v>-16.408114635979327</c:v>
                </c:pt>
                <c:pt idx="631">
                  <c:v>24.948961623485893</c:v>
                </c:pt>
                <c:pt idx="632">
                  <c:v>-20.387513270800511</c:v>
                </c:pt>
                <c:pt idx="633">
                  <c:v>5.100998671916642</c:v>
                </c:pt>
                <c:pt idx="634">
                  <c:v>12.8913078253818</c:v>
                </c:pt>
                <c:pt idx="635">
                  <c:v>-24.134991781274827</c:v>
                </c:pt>
                <c:pt idx="636">
                  <c:v>22.708528164801365</c:v>
                </c:pt>
                <c:pt idx="637">
                  <c:v>-9.3418646866076429</c:v>
                </c:pt>
                <c:pt idx="638">
                  <c:v>-8.9568449430115589</c:v>
                </c:pt>
                <c:pt idx="639">
                  <c:v>22.575624420106418</c:v>
                </c:pt>
                <c:pt idx="640">
                  <c:v>-24.347690121570491</c:v>
                </c:pt>
                <c:pt idx="641">
                  <c:v>13.322921612095429</c:v>
                </c:pt>
                <c:pt idx="642">
                  <c:v>4.7229243780002426</c:v>
                </c:pt>
                <c:pt idx="643">
                  <c:v>-20.314061070945758</c:v>
                </c:pt>
                <c:pt idx="644">
                  <c:v>25.250380976860498</c:v>
                </c:pt>
                <c:pt idx="645">
                  <c:v>-16.920286099160919</c:v>
                </c:pt>
                <c:pt idx="646">
                  <c:v>-0.31769086798766688</c:v>
                </c:pt>
                <c:pt idx="647">
                  <c:v>17.415363506735329</c:v>
                </c:pt>
                <c:pt idx="648">
                  <c:v>-25.384286484903065</c:v>
                </c:pt>
                <c:pt idx="649">
                  <c:v>20.021101354760145</c:v>
                </c:pt>
                <c:pt idx="650">
                  <c:v>-4.1246477868836591</c:v>
                </c:pt>
                <c:pt idx="651">
                  <c:v>-13.964585950456375</c:v>
                </c:pt>
                <c:pt idx="652">
                  <c:v>24.74052861541583</c:v>
                </c:pt>
                <c:pt idx="653">
                  <c:v>-22.527079047453491</c:v>
                </c:pt>
                <c:pt idx="654">
                  <c:v>8.4679145940562819</c:v>
                </c:pt>
                <c:pt idx="655">
                  <c:v>10.06427975740929</c:v>
                </c:pt>
                <c:pt idx="656">
                  <c:v>-23.334082504066945</c:v>
                </c:pt>
                <c:pt idx="657">
                  <c:v>24.357613805123904</c:v>
                </c:pt>
                <c:pt idx="658">
                  <c:v>-12.578142787427813</c:v>
                </c:pt>
                <c:pt idx="659">
                  <c:v>-5.831443782205648</c:v>
                </c:pt>
                <c:pt idx="660">
                  <c:v>21.203460898887283</c:v>
                </c:pt>
                <c:pt idx="661">
                  <c:v>-25.45237166219707</c:v>
                </c:pt>
                <c:pt idx="662">
                  <c:v>16.327712377308465</c:v>
                </c:pt>
                <c:pt idx="663">
                  <c:v>1.3940111919394054</c:v>
                </c:pt>
                <c:pt idx="664">
                  <c:v>-18.409671464429262</c:v>
                </c:pt>
                <c:pt idx="665">
                  <c:v>25.773269476750027</c:v>
                </c:pt>
                <c:pt idx="666">
                  <c:v>-19.599315981781295</c:v>
                </c:pt>
                <c:pt idx="667">
                  <c:v>3.1130216652981972</c:v>
                </c:pt>
                <c:pt idx="668">
                  <c:v>15.034474789537903</c:v>
                </c:pt>
                <c:pt idx="669">
                  <c:v>-25.305780656391491</c:v>
                </c:pt>
                <c:pt idx="670">
                  <c:v>22.289630612461778</c:v>
                </c:pt>
                <c:pt idx="671">
                  <c:v>-7.5517070587843564</c:v>
                </c:pt>
                <c:pt idx="672">
                  <c:v>-11.177992697427539</c:v>
                </c:pt>
                <c:pt idx="673">
                  <c:v>24.059522954096316</c:v>
                </c:pt>
                <c:pt idx="674">
                  <c:v>-24.312580447631785</c:v>
                </c:pt>
                <c:pt idx="675">
                  <c:v>11.785372950680289</c:v>
                </c:pt>
                <c:pt idx="676">
                  <c:v>6.9557368017363803</c:v>
                </c:pt>
                <c:pt idx="677">
                  <c:v>-22.068106001549779</c:v>
                </c:pt>
                <c:pt idx="678">
                  <c:v>25.602087586180012</c:v>
                </c:pt>
                <c:pt idx="679">
                  <c:v>-15.682835675638843</c:v>
                </c:pt>
                <c:pt idx="680">
                  <c:v>-2.4951455516886409</c:v>
                </c:pt>
                <c:pt idx="681">
                  <c:v>19.388238968498975</c:v>
                </c:pt>
                <c:pt idx="682">
                  <c:v>-26.114222987035241</c:v>
                </c:pt>
                <c:pt idx="683">
                  <c:v>19.122468250369721</c:v>
                </c:pt>
                <c:pt idx="684">
                  <c:v>-2.0682663133560375</c:v>
                </c:pt>
                <c:pt idx="685">
                  <c:v>-16.098121574274906</c:v>
                </c:pt>
                <c:pt idx="686">
                  <c:v>25.8286878080036</c:v>
                </c:pt>
                <c:pt idx="687">
                  <c:v>-21.995998051177818</c:v>
                </c:pt>
                <c:pt idx="688">
                  <c:v>6.5950294244591596</c:v>
                </c:pt>
                <c:pt idx="689">
                  <c:v>12.295163926599463</c:v>
                </c:pt>
                <c:pt idx="690">
                  <c:v>-24.749575624536227</c:v>
                </c:pt>
                <c:pt idx="691">
                  <c:v>24.2119152311204</c:v>
                </c:pt>
                <c:pt idx="692">
                  <c:v>-10.945987055858966</c:v>
                </c:pt>
                <c:pt idx="693">
                  <c:v>-8.0931016313895299</c:v>
                </c:pt>
                <c:pt idx="694">
                  <c:v>22.905387918385308</c:v>
                </c:pt>
                <c:pt idx="695">
                  <c:v>-25.698384588310343</c:v>
                </c:pt>
                <c:pt idx="696">
                  <c:v>14.986577304703731</c:v>
                </c:pt>
                <c:pt idx="697">
                  <c:v>3.6185916510567444</c:v>
                </c:pt>
                <c:pt idx="698">
                  <c:v>-20.348298110068949</c:v>
                </c:pt>
                <c:pt idx="699">
                  <c:v>26.405568313590845</c:v>
                </c:pt>
                <c:pt idx="700">
                  <c:v>-18.590998278543594</c:v>
                </c:pt>
                <c:pt idx="701">
                  <c:v>0.9926091117178758</c:v>
                </c:pt>
                <c:pt idx="702">
                  <c:v>17.152682565978534</c:v>
                </c:pt>
                <c:pt idx="703">
                  <c:v>-26.307284702197617</c:v>
                </c:pt>
                <c:pt idx="704">
                  <c:v>21.646127263088221</c:v>
                </c:pt>
                <c:pt idx="705">
                  <c:v>-5.5997670862298561</c:v>
                </c:pt>
                <c:pt idx="706">
                  <c:v>-13.412959725978469</c:v>
                </c:pt>
                <c:pt idx="707">
                  <c:v>25.401947980960333</c:v>
                </c:pt>
                <c:pt idx="708">
                  <c:v>-24.055071714738727</c:v>
                </c:pt>
                <c:pt idx="709">
                  <c:v>10.061471791820917</c:v>
                </c:pt>
                <c:pt idx="710">
                  <c:v>9.240800066793156</c:v>
                </c:pt>
                <c:pt idx="711">
                  <c:v>-23.712756272434742</c:v>
                </c:pt>
                <c:pt idx="712">
                  <c:v>25.740240602592063</c:v>
                </c:pt>
                <c:pt idx="713">
                  <c:v>-14.239980575436057</c:v>
                </c:pt>
                <c:pt idx="714">
                  <c:v>-4.7617893674403131</c:v>
                </c:pt>
                <c:pt idx="715">
                  <c:v>21.28711772466767</c:v>
                </c:pt>
                <c:pt idx="716">
                  <c:v>-26.645838804367418</c:v>
                </c:pt>
                <c:pt idx="717">
                  <c:v>18.005474713329129</c:v>
                </c:pt>
                <c:pt idx="718">
                  <c:v>0.11164505506880389</c:v>
                </c:pt>
                <c:pt idx="719">
                  <c:v>-18.19532827464872</c:v>
                </c:pt>
                <c:pt idx="720">
                  <c:v>26.739704520731831</c:v>
                </c:pt>
                <c:pt idx="721">
                  <c:v>-21.240095264333966</c:v>
                </c:pt>
                <c:pt idx="722">
                  <c:v>4.5679002640285438</c:v>
                </c:pt>
                <c:pt idx="723">
                  <c:v>14.528537664107954</c:v>
                </c:pt>
                <c:pt idx="724">
                  <c:v>-26.01442949481725</c:v>
                </c:pt>
                <c:pt idx="725">
                  <c:v>23.841633138079445</c:v>
                </c:pt>
                <c:pt idx="726">
                  <c:v>-9.133423101826601</c:v>
                </c:pt>
                <c:pt idx="727">
                  <c:v>-10.396062470086179</c:v>
                </c:pt>
                <c:pt idx="728">
                  <c:v>24.487723611233129</c:v>
                </c:pt>
                <c:pt idx="729">
                  <c:v>-25.726757824226169</c:v>
                </c:pt>
                <c:pt idx="730">
                  <c:v>13.444209145719832</c:v>
                </c:pt>
                <c:pt idx="731">
                  <c:v>5.9221253622760939</c:v>
                </c:pt>
                <c:pt idx="732">
                  <c:v>-22.202008537668746</c:v>
                </c:pt>
                <c:pt idx="733">
                  <c:v>26.833682829739658</c:v>
                </c:pt>
                <c:pt idx="734">
                  <c:v>-17.366593960946506</c:v>
                </c:pt>
                <c:pt idx="735">
                  <c:v>-1.2421179123217274</c:v>
                </c:pt>
                <c:pt idx="736">
                  <c:v>19.223248756985672</c:v>
                </c:pt>
                <c:pt idx="737">
                  <c:v>-27.124182690278371</c:v>
                </c:pt>
                <c:pt idx="738">
                  <c:v>20.778110331701829</c:v>
                </c:pt>
                <c:pt idx="739">
                  <c:v>-3.5015005129528958</c:v>
                </c:pt>
                <c:pt idx="740">
                  <c:v>-15.639051889576244</c:v>
                </c:pt>
                <c:pt idx="741">
                  <c:v>26.584895955934989</c:v>
                </c:pt>
                <c:pt idx="742">
                  <c:v>-23.571313481716697</c:v>
                </c:pt>
                <c:pt idx="743">
                  <c:v>8.1635434280571193</c:v>
                </c:pt>
                <c:pt idx="744">
                  <c:v>11.556092897514814</c:v>
                </c:pt>
                <c:pt idx="745">
                  <c:v>-25.227870211542985</c:v>
                </c:pt>
                <c:pt idx="746">
                  <c:v>25.657164661912258</c:v>
                </c:pt>
                <c:pt idx="747">
                  <c:v>-12.600545087625338</c:v>
                </c:pt>
                <c:pt idx="748">
                  <c:v>-7.0969378880508884</c:v>
                </c:pt>
                <c:pt idx="749">
                  <c:v>23.090328320444986</c:v>
                </c:pt>
                <c:pt idx="750">
                  <c:v>-26.967866574241608</c:v>
                </c:pt>
                <c:pt idx="751">
                  <c:v>16.675179140790174</c:v>
                </c:pt>
                <c:pt idx="752">
                  <c:v>2.3963621347272754</c:v>
                </c:pt>
                <c:pt idx="753">
                  <c:v>-20.233658970976645</c:v>
                </c:pt>
                <c:pt idx="754">
                  <c:v>27.459060435491963</c:v>
                </c:pt>
                <c:pt idx="755">
                  <c:v>-20.260511881263451</c:v>
                </c:pt>
                <c:pt idx="756">
                  <c:v>2.4027269856447155</c:v>
                </c:pt>
                <c:pt idx="757">
                  <c:v>16.741658523865922</c:v>
                </c:pt>
                <c:pt idx="758">
                  <c:v>-27.111313684994858</c:v>
                </c:pt>
                <c:pt idx="759">
                  <c:v>23.243958280651626</c:v>
                </c:pt>
                <c:pt idx="760">
                  <c:v>-7.1536386925477817</c:v>
                </c:pt>
                <c:pt idx="761">
                  <c:v>-12.718074368201339</c:v>
                </c:pt>
                <c:pt idx="762">
                  <c:v>25.930848828663692</c:v>
                </c:pt>
                <c:pt idx="763">
                  <c:v>-25.530817467564482</c:v>
                </c:pt>
                <c:pt idx="764">
                  <c:v>11.710386682665073</c:v>
                </c:pt>
                <c:pt idx="765">
                  <c:v>8.2835217732568136</c:v>
                </c:pt>
                <c:pt idx="766">
                  <c:v>-23.94948703644414</c:v>
                </c:pt>
                <c:pt idx="767">
                  <c:v>27.047276636365279</c:v>
                </c:pt>
                <c:pt idx="768">
                  <c:v>-15.932178767080373</c:v>
                </c:pt>
                <c:pt idx="769">
                  <c:v>-3.5718658948311868</c:v>
                </c:pt>
                <c:pt idx="770">
                  <c:v>21.223804165908152</c:v>
                </c:pt>
                <c:pt idx="771">
                  <c:v>-27.74278817580511</c:v>
                </c:pt>
                <c:pt idx="772">
                  <c:v>19.687770081724373</c:v>
                </c:pt>
                <c:pt idx="773">
                  <c:v>-1.273822460152634</c:v>
                </c:pt>
                <c:pt idx="774">
                  <c:v>-17.833521134019048</c:v>
                </c:pt>
                <c:pt idx="775">
                  <c:v>27.591743629595292</c:v>
                </c:pt>
                <c:pt idx="776">
                  <c:v>-22.859545186567164</c:v>
                </c:pt>
                <c:pt idx="777">
                  <c:v>6.1056150249934396</c:v>
                </c:pt>
                <c:pt idx="778">
                  <c:v>13.879174254590962</c:v>
                </c:pt>
                <c:pt idx="779">
                  <c:v>-26.594389372018227</c:v>
                </c:pt>
                <c:pt idx="780">
                  <c:v>25.347202036232186</c:v>
                </c:pt>
                <c:pt idx="781">
                  <c:v>-10.775245952733458</c:v>
                </c:pt>
                <c:pt idx="782">
                  <c:v>-9.4791335669595576</c:v>
                </c:pt>
                <c:pt idx="783">
                  <c:v>24.776951958312154</c:v>
                </c:pt>
                <c:pt idx="784">
                  <c:v>-27.070922426057088</c:v>
                </c:pt>
                <c:pt idx="785">
                  <c:v>15.138665161983271</c:v>
                </c:pt>
                <c:pt idx="786">
                  <c:v>4.7660576049614338</c:v>
                </c:pt>
                <c:pt idx="787">
                  <c:v>-22.190965288695754</c:v>
                </c:pt>
                <c:pt idx="788">
                  <c:v>27.973928752967328</c:v>
                </c:pt>
                <c:pt idx="789">
                  <c:v>-19.060485202577201</c:v>
                </c:pt>
                <c:pt idx="790">
                  <c:v>0.11710914654509245</c:v>
                </c:pt>
                <c:pt idx="791">
                  <c:v>18.911816266092909</c:v>
                </c:pt>
                <c:pt idx="792">
                  <c:v>-28.024345328615603</c:v>
                </c:pt>
                <c:pt idx="793">
                  <c:v>22.418184275885764</c:v>
                </c:pt>
                <c:pt idx="794">
                  <c:v>-5.0214752478274312</c:v>
                </c:pt>
                <c:pt idx="795">
                  <c:v>-15.036549776020445</c:v>
                </c:pt>
                <c:pt idx="796">
                  <c:v>27.216303490207171</c:v>
                </c:pt>
                <c:pt idx="797">
                  <c:v>-25.105934869701798</c:v>
                </c:pt>
                <c:pt idx="798">
                  <c:v>9.7967459334954619</c:v>
                </c:pt>
                <c:pt idx="799">
                  <c:v>10.680996826121797</c:v>
                </c:pt>
                <c:pt idx="800">
                  <c:v>-25.570252738000676</c:v>
                </c:pt>
                <c:pt idx="801">
                  <c:v>27.037938350506362</c:v>
                </c:pt>
                <c:pt idx="802">
                  <c:v>-14.295832603929446</c:v>
                </c:pt>
                <c:pt idx="803">
                  <c:v>-5.9763108369439042</c:v>
                </c:pt>
                <c:pt idx="804">
                  <c:v>23.13246438782922</c:v>
                </c:pt>
                <c:pt idx="805">
                  <c:v>-28.151160477365263</c:v>
                </c:pt>
                <c:pt idx="806">
                  <c:v>18.37938669788101</c:v>
                </c:pt>
                <c:pt idx="807">
                  <c:v>1.0650157143845971</c:v>
                </c:pt>
                <c:pt idx="808">
                  <c:v>-19.97373902076912</c:v>
                </c:pt>
                <c:pt idx="809">
                  <c:v>28.407380730881989</c:v>
                </c:pt>
                <c:pt idx="810">
                  <c:v>-21.920118101128555</c:v>
                </c:pt>
                <c:pt idx="811">
                  <c:v>3.9033151290866015</c:v>
                </c:pt>
                <c:pt idx="812">
                  <c:v>16.187353578026823</c:v>
                </c:pt>
                <c:pt idx="813">
                  <c:v>-27.794489049914169</c:v>
                </c:pt>
                <c:pt idx="814">
                  <c:v>24.806764198319062</c:v>
                </c:pt>
                <c:pt idx="815">
                  <c:v>-8.7766176979502344</c:v>
                </c:pt>
                <c:pt idx="816">
                  <c:v>-11.886307529259438</c:v>
                </c:pt>
                <c:pt idx="817">
                  <c:v>26.326986413028216</c:v>
                </c:pt>
                <c:pt idx="818">
                  <c:v>-26.947585779878356</c:v>
                </c:pt>
                <c:pt idx="819">
                  <c:v>13.40499521577178</c:v>
                </c:pt>
                <c:pt idx="820">
                  <c:v>7.1999494052170281</c:v>
                </c:pt>
                <c:pt idx="821">
                  <c:v>-24.045669997543527</c:v>
                </c:pt>
                <c:pt idx="822">
                  <c:v>28.273279982185869</c:v>
                </c:pt>
                <c:pt idx="823">
                  <c:v>-17.645332026646624</c:v>
                </c:pt>
                <c:pt idx="824">
                  <c:v>-2.2700844482810836</c:v>
                </c:pt>
                <c:pt idx="825">
                  <c:v>21.016508653911711</c:v>
                </c:pt>
                <c:pt idx="826">
                  <c:v>-28.73921785503563</c:v>
                </c:pt>
                <c:pt idx="827">
                  <c:v>21.36572148340408</c:v>
                </c:pt>
                <c:pt idx="828">
                  <c:v>-2.7533194128309391</c:v>
                </c:pt>
                <c:pt idx="829">
                  <c:v>-17.32873938004489</c:v>
                </c:pt>
                <c:pt idx="830">
                  <c:v>28.326934493792461</c:v>
                </c:pt>
                <c:pt idx="831">
                  <c:v>-24.449570756052058</c:v>
                </c:pt>
                <c:pt idx="832">
                  <c:v>7.716697137681388</c:v>
                </c:pt>
                <c:pt idx="833">
                  <c:v>13.092239600323818</c:v>
                </c:pt>
                <c:pt idx="834">
                  <c:v>-27.044822333112101</c:v>
                </c:pt>
                <c:pt idx="835">
                  <c:v>26.799254785250298</c:v>
                </c:pt>
                <c:pt idx="836">
                  <c:v>-12.46758459719045</c:v>
                </c:pt>
                <c:pt idx="837">
                  <c:v>-8.4342525989922486</c:v>
                </c:pt>
                <c:pt idx="838">
                  <c:v>24.928002485934819</c:v>
                </c:pt>
                <c:pt idx="839">
                  <c:v>-28.339204875337696</c:v>
                </c:pt>
                <c:pt idx="840">
                  <c:v>16.859305211818214</c:v>
                </c:pt>
                <c:pt idx="841">
                  <c:v>3.495563727373276</c:v>
                </c:pt>
                <c:pt idx="842">
                  <c:v>-22.037374185268824</c:v>
                </c:pt>
                <c:pt idx="843">
                  <c:v>29.018334278441458</c:v>
                </c:pt>
                <c:pt idx="844">
                  <c:v>-20.755501045175329</c:v>
                </c:pt>
                <c:pt idx="845">
                  <c:v>1.5737576377574605</c:v>
                </c:pt>
                <c:pt idx="846">
                  <c:v>18.457867675741628</c:v>
                </c:pt>
                <c:pt idx="847">
                  <c:v>-28.811723063611687</c:v>
                </c:pt>
                <c:pt idx="848">
                  <c:v>24.034368304634413</c:v>
                </c:pt>
                <c:pt idx="849">
                  <c:v>-6.618921509135288</c:v>
                </c:pt>
                <c:pt idx="850">
                  <c:v>-14.295950527814801</c:v>
                </c:pt>
                <c:pt idx="851">
                  <c:v>27.721506991950505</c:v>
                </c:pt>
                <c:pt idx="852">
                  <c:v>-26.592465642059427</c:v>
                </c:pt>
                <c:pt idx="853">
                  <c:v>11.485147206476064</c:v>
                </c:pt>
                <c:pt idx="854">
                  <c:v>9.676460548949871</c:v>
                </c:pt>
                <c:pt idx="855">
                  <c:v>-25.77693935083958</c:v>
                </c:pt>
                <c:pt idx="856">
                  <c:v>28.347976179976364</c:v>
                </c:pt>
                <c:pt idx="857">
                  <c:v>-16.022415139768317</c:v>
                </c:pt>
                <c:pt idx="858">
                  <c:v>-4.738859521263306</c:v>
                </c:pt>
                <c:pt idx="859">
                  <c:v>23.033619999505834</c:v>
                </c:pt>
                <c:pt idx="860">
                  <c:v>-29.243320443908623</c:v>
                </c:pt>
                <c:pt idx="861">
                  <c:v>20.090094482221609</c:v>
                </c:pt>
                <c:pt idx="862">
                  <c:v>-0.36697975399925148</c:v>
                </c:pt>
                <c:pt idx="863">
                  <c:v>-19.571911469855582</c:v>
                </c:pt>
                <c:pt idx="864">
                  <c:v>29.247036875648522</c:v>
                </c:pt>
                <c:pt idx="865">
                  <c:v>-23.561303903619109</c:v>
                </c:pt>
                <c:pt idx="866">
                  <c:v>5.4853257532451289</c:v>
                </c:pt>
                <c:pt idx="867">
                  <c:v>15.494587063678614</c:v>
                </c:pt>
                <c:pt idx="868">
                  <c:v>-28.354868750069322</c:v>
                </c:pt>
                <c:pt idx="869">
                  <c:v>26.326870093089855</c:v>
                </c:pt>
                <c:pt idx="870">
                  <c:v>-10.459341496782006</c:v>
                </c:pt>
                <c:pt idx="871">
                  <c:v>-10.923779715218329</c:v>
                </c:pt>
                <c:pt idx="872">
                  <c:v>26.590020448814034</c:v>
                </c:pt>
                <c:pt idx="873">
                  <c:v>-28.298760555227837</c:v>
                </c:pt>
                <c:pt idx="874">
                  <c:v>15.135893602940021</c:v>
                </c:pt>
                <c:pt idx="875">
                  <c:v>5.9973222064426439</c:v>
                </c:pt>
                <c:pt idx="876">
                  <c:v>-24.002571423848398</c:v>
                </c:pt>
                <c:pt idx="877">
                  <c:v>29.412882773722401</c:v>
                </c:pt>
                <c:pt idx="878">
                  <c:v>-19.370269575025674</c:v>
                </c:pt>
                <c:pt idx="879">
                  <c:v>-0.86458845134967155</c:v>
                </c:pt>
                <c:pt idx="880">
                  <c:v>20.668062036272541</c:v>
                </c:pt>
                <c:pt idx="881">
                  <c:v>-29.631160836173599</c:v>
                </c:pt>
                <c:pt idx="882">
                  <c:v>23.030657923311139</c:v>
                </c:pt>
                <c:pt idx="883">
                  <c:v>-4.3180385963157386</c:v>
                </c:pt>
                <c:pt idx="884">
                  <c:v>-16.685290987545663</c:v>
                </c:pt>
                <c:pt idx="885">
                  <c:v>28.942822435183825</c:v>
                </c:pt>
                <c:pt idx="886">
                  <c:v>-26.002252365591051</c:v>
                </c:pt>
                <c:pt idx="887">
                  <c:v>9.3919348129834965</c:v>
                </c:pt>
                <c:pt idx="888">
                  <c:v>12.173388482525267</c:v>
                </c:pt>
                <c:pt idx="889">
                  <c:v>-27.364853142523845</c:v>
                </c:pt>
                <c:pt idx="890">
                  <c:v>28.190852289536672</c:v>
                </c:pt>
                <c:pt idx="891">
                  <c:v>-14.201093089192705</c:v>
                </c:pt>
                <c:pt idx="892">
                  <c:v>-7.2682518218330561</c:v>
                </c:pt>
                <c:pt idx="893">
                  <c:v>24.941600267710012</c:v>
                </c:pt>
                <c:pt idx="894">
                  <c:v>-29.525846581333557</c:v>
                </c:pt>
                <c:pt idx="895">
                  <c:v>18.596922940171272</c:v>
                </c:pt>
                <c:pt idx="896">
                  <c:v>2.11845010979013</c:v>
                </c:pt>
                <c:pt idx="897">
                  <c:v>-21.743534682740471</c:v>
                </c:pt>
                <c:pt idx="898">
                  <c:v>29.962486385514822</c:v>
                </c:pt>
                <c:pt idx="899">
                  <c:v>-22.44284379876294</c:v>
                </c:pt>
                <c:pt idx="900">
                  <c:v>3.1192784405806218</c:v>
                </c:pt>
                <c:pt idx="901">
                  <c:v>17.865204921720064</c:v>
                </c:pt>
                <c:pt idx="902">
                  <c:v>-29.483373807102435</c:v>
                </c:pt>
                <c:pt idx="903">
                  <c:v>25.618529938161675</c:v>
                </c:pt>
                <c:pt idx="904">
                  <c:v>-8.2848000549469525</c:v>
                </c:pt>
                <c:pt idx="905">
                  <c:v>-13.422442848979063</c:v>
                </c:pt>
                <c:pt idx="906">
                  <c:v>28.099117352745008</c:v>
                </c:pt>
                <c:pt idx="907">
                  <c:v>-28.023675059691865</c:v>
                </c:pt>
                <c:pt idx="908">
                  <c:v>13.219484321008473</c:v>
                </c:pt>
                <c:pt idx="909">
                  <c:v>8.5489034583734096</c:v>
                </c:pt>
                <c:pt idx="910">
                  <c:v>-25.848130309900679</c:v>
                </c:pt>
                <c:pt idx="911">
                  <c:v>29.581158771692454</c:v>
                </c:pt>
                <c:pt idx="912">
                  <c:v>-17.771078522623817</c:v>
                </c:pt>
                <c:pt idx="913">
                  <c:v>-3.3920421969680956</c:v>
                </c:pt>
                <c:pt idx="914">
                  <c:v>22.795574507372727</c:v>
                </c:pt>
                <c:pt idx="915">
                  <c:v>-30.239515060005434</c:v>
                </c:pt>
                <c:pt idx="916">
                  <c:v>21.798407523494465</c:v>
                </c:pt>
                <c:pt idx="917">
                  <c:v>-1.8913490533991622</c:v>
                </c:pt>
                <c:pt idx="918">
                  <c:v>-19.031478182987296</c:v>
                </c:pt>
                <c:pt idx="919">
                  <c:v>29.974623875152865</c:v>
                </c:pt>
                <c:pt idx="920">
                  <c:v>-25.175754053453957</c:v>
                </c:pt>
                <c:pt idx="921">
                  <c:v>7.1399121137023585</c:v>
                </c:pt>
                <c:pt idx="922">
                  <c:v>14.668082195480606</c:v>
                </c:pt>
                <c:pt idx="923">
                  <c:v>-28.79057050185753</c:v>
                </c:pt>
                <c:pt idx="924">
                  <c:v>27.796783449511523</c:v>
                </c:pt>
                <c:pt idx="925">
                  <c:v>-12.192653549108472</c:v>
                </c:pt>
                <c:pt idx="926">
                  <c:v>-9.8364927701776015</c:v>
                </c:pt>
                <c:pt idx="927">
                  <c:v>26.719642719225515</c:v>
                </c:pt>
                <c:pt idx="928">
                  <c:v>-29.577890322056614</c:v>
                </c:pt>
                <c:pt idx="929">
                  <c:v>16.893885830965999</c:v>
                </c:pt>
                <c:pt idx="930">
                  <c:v>4.6827406177990198</c:v>
                </c:pt>
                <c:pt idx="931">
                  <c:v>-23.821462133005543</c:v>
                </c:pt>
                <c:pt idx="932">
                  <c:v>30.460861861697364</c:v>
                </c:pt>
                <c:pt idx="933">
                  <c:v>-21.098026881891744</c:v>
                </c:pt>
                <c:pt idx="934">
                  <c:v>0.63663506361044897</c:v>
                </c:pt>
                <c:pt idx="935">
                  <c:v>20.181272656900251</c:v>
                </c:pt>
                <c:pt idx="936">
                  <c:v>-30.414773056396278</c:v>
                </c:pt>
                <c:pt idx="937">
                  <c:v>24.674109973636394</c:v>
                </c:pt>
                <c:pt idx="938">
                  <c:v>-5.9593440879048272</c:v>
                </c:pt>
                <c:pt idx="939">
                  <c:v>-15.907435121742488</c:v>
                </c:pt>
                <c:pt idx="940">
                  <c:v>29.437052335894528</c:v>
                </c:pt>
                <c:pt idx="941">
                  <c:v>-27.509864222637788</c:v>
                </c:pt>
                <c:pt idx="942">
                  <c:v>11.122299605172755</c:v>
                </c:pt>
                <c:pt idx="943">
                  <c:v>11.128201595221688</c:v>
                </c:pt>
                <c:pt idx="944">
                  <c:v>-27.553681395396573</c:v>
                </c:pt>
                <c:pt idx="945">
                  <c:v>29.515238535611694</c:v>
                </c:pt>
                <c:pt idx="946">
                  <c:v>-15.966617917687083</c:v>
                </c:pt>
                <c:pt idx="947">
                  <c:v>-5.9878654402267033</c:v>
                </c:pt>
                <c:pt idx="948">
                  <c:v>24.818519405446011</c:v>
                </c:pt>
                <c:pt idx="949">
                  <c:v>-30.625258426415499</c:v>
                </c:pt>
                <c:pt idx="950">
                  <c:v>20.342510420679243</c:v>
                </c:pt>
                <c:pt idx="951">
                  <c:v>0.64240272521616792</c:v>
                </c:pt>
                <c:pt idx="952">
                  <c:v>-21.311768681109648</c:v>
                </c:pt>
                <c:pt idx="953">
                  <c:v>30.802125163663984</c:v>
                </c:pt>
                <c:pt idx="954">
                  <c:v>-24.113916975964877</c:v>
                </c:pt>
                <c:pt idx="955">
                  <c:v>4.7452632871875808</c:v>
                </c:pt>
                <c:pt idx="956">
                  <c:v>17.137625336332313</c:v>
                </c:pt>
                <c:pt idx="957">
                  <c:v>-30.036489613046324</c:v>
                </c:pt>
                <c:pt idx="958">
                  <c:v>27.162737344624833</c:v>
                </c:pt>
                <c:pt idx="959">
                  <c:v>-10.010230718479884</c:v>
                </c:pt>
                <c:pt idx="960">
                  <c:v>-12.421183672722384</c:v>
                </c:pt>
                <c:pt idx="961">
                  <c:v>28.347858216778405</c:v>
                </c:pt>
                <c:pt idx="962">
                  <c:v>-29.392529061058646</c:v>
                </c:pt>
                <c:pt idx="963">
                  <c:v>14.990669107557457</c:v>
                </c:pt>
                <c:pt idx="964">
                  <c:v>7.3046862660200844</c:v>
                </c:pt>
                <c:pt idx="965">
                  <c:v>-25.784115042283901</c:v>
                </c:pt>
                <c:pt idx="966">
                  <c:v>30.731555981334555</c:v>
                </c:pt>
                <c:pt idx="967">
                  <c:v>-19.532796159486928</c:v>
                </c:pt>
                <c:pt idx="968">
                  <c:v>-1.943232195370215</c:v>
                </c:pt>
                <c:pt idx="969">
                  <c:v>22.420170924176166</c:v>
                </c:pt>
                <c:pt idx="970">
                  <c:v>-31.135091213034688</c:v>
                </c:pt>
                <c:pt idx="971">
                  <c:v>23.495628086892044</c:v>
                </c:pt>
                <c:pt idx="972">
                  <c:v>-3.4999270308447881</c:v>
                </c:pt>
                <c:pt idx="973">
                  <c:v>-18.355777587118308</c:v>
                </c:pt>
                <c:pt idx="974">
                  <c:v>30.586900646827914</c:v>
                </c:pt>
                <c:pt idx="975">
                  <c:v>-26.755356750418184</c:v>
                </c:pt>
                <c:pt idx="976">
                  <c:v>8.858361102537069</c:v>
                </c:pt>
                <c:pt idx="977">
                  <c:v>13.712570445240402</c:v>
                </c:pt>
                <c:pt idx="978">
                  <c:v>-29.099858182565828</c:v>
                </c:pt>
                <c:pt idx="979">
                  <c:v>29.209217671952828</c:v>
                </c:pt>
                <c:pt idx="980">
                  <c:v>-13.967552477262421</c:v>
                </c:pt>
                <c:pt idx="981">
                  <c:v>-8.6304277279797326</c:v>
                </c:pt>
                <c:pt idx="982">
                  <c:v>26.715670218756273</c:v>
                </c:pt>
                <c:pt idx="983">
                  <c:v>-30.778728083916121</c:v>
                </c:pt>
                <c:pt idx="984">
                  <c:v>18.669950041960572</c:v>
                </c:pt>
                <c:pt idx="985">
                  <c:v>3.2632549393962567</c:v>
                </c:pt>
                <c:pt idx="986">
                  <c:v>-23.50371424615177</c:v>
                </c:pt>
                <c:pt idx="987">
                  <c:v>31.412193040818188</c:v>
                </c:pt>
                <c:pt idx="988">
                  <c:v>-22.81982955332148</c:v>
                </c:pt>
                <c:pt idx="989">
                  <c:v>2.2256782494805192</c:v>
                </c:pt>
                <c:pt idx="990">
                  <c:v>19.559023619025531</c:v>
                </c:pt>
                <c:pt idx="991">
                  <c:v>-31.086399692749623</c:v>
                </c:pt>
                <c:pt idx="992">
                  <c:v>26.287810853483947</c:v>
                </c:pt>
                <c:pt idx="993">
                  <c:v>-7.6687073175513749</c:v>
                </c:pt>
                <c:pt idx="994">
                  <c:v>-14.99947693277125</c:v>
                </c:pt>
                <c:pt idx="995">
                  <c:v>29.807444437099601</c:v>
                </c:pt>
                <c:pt idx="996">
                  <c:v>-28.964891800062905</c:v>
                </c:pt>
                <c:pt idx="997">
                  <c:v>12.898897090678926</c:v>
                </c:pt>
                <c:pt idx="998">
                  <c:v>9.9622751015300306</c:v>
                </c:pt>
                <c:pt idx="999">
                  <c:v>-27.610664078001808</c:v>
                </c:pt>
                <c:pt idx="1000">
                  <c:v>30.765873134613987</c:v>
                </c:pt>
                <c:pt idx="1001">
                  <c:v>30.765873134613987</c:v>
                </c:pt>
                <c:pt idx="1002">
                  <c:v>-30.765873134613987</c:v>
                </c:pt>
                <c:pt idx="1003">
                  <c:v>-30.765873134613987</c:v>
                </c:pt>
                <c:pt idx="1004">
                  <c:v>30.765873134613987</c:v>
                </c:pt>
              </c:numCache>
            </c:numRef>
          </c:xVal>
          <c:yVal>
            <c:numRef>
              <c:f>'【解答】演習問題４（ひまわりシミュレーション）'!$D$12:$D$1016</c:f>
              <c:numCache>
                <c:formatCode>General</c:formatCode>
                <c:ptCount val="1005"/>
                <c:pt idx="0">
                  <c:v>0</c:v>
                </c:pt>
                <c:pt idx="1">
                  <c:v>-0.67550487207621468</c:v>
                </c:pt>
                <c:pt idx="2">
                  <c:v>1.4088034840601091</c:v>
                </c:pt>
                <c:pt idx="3">
                  <c:v>-1.3744943153745257</c:v>
                </c:pt>
                <c:pt idx="4">
                  <c:v>0.34820815563272389</c:v>
                </c:pt>
                <c:pt idx="5">
                  <c:v>1.2003469070586763</c:v>
                </c:pt>
                <c:pt idx="6">
                  <c:v>-2.3655845835708185</c:v>
                </c:pt>
                <c:pt idx="7">
                  <c:v>2.3477990617515792</c:v>
                </c:pt>
                <c:pt idx="8">
                  <c:v>-0.96983955176151548</c:v>
                </c:pt>
                <c:pt idx="9">
                  <c:v>-1.1451626192668818</c:v>
                </c:pt>
                <c:pt idx="10">
                  <c:v>2.8644481841667533</c:v>
                </c:pt>
                <c:pt idx="11">
                  <c:v>-3.1643884348270515</c:v>
                </c:pt>
                <c:pt idx="12">
                  <c:v>1.7362157042407971</c:v>
                </c:pt>
                <c:pt idx="13">
                  <c:v>0.77508694488985952</c:v>
                </c:pt>
                <c:pt idx="14">
                  <c:v>-3.0615048375202232</c:v>
                </c:pt>
                <c:pt idx="15">
                  <c:v>3.8407212780347111</c:v>
                </c:pt>
                <c:pt idx="16">
                  <c:v>-2.576820296619724</c:v>
                </c:pt>
                <c:pt idx="17">
                  <c:v>-0.17174231878680726</c:v>
                </c:pt>
                <c:pt idx="18">
                  <c:v>2.9937436416540177</c:v>
                </c:pt>
                <c:pt idx="19">
                  <c:v>-4.3543216032055128</c:v>
                </c:pt>
                <c:pt idx="20">
                  <c:v>3.4324998008349499</c:v>
                </c:pt>
                <c:pt idx="21">
                  <c:v>-0.60918703420360087</c:v>
                </c:pt>
                <c:pt idx="22">
                  <c:v>-2.6805201894114346</c:v>
                </c:pt>
                <c:pt idx="23">
                  <c:v>4.6793714307508676</c:v>
                </c:pt>
                <c:pt idx="24">
                  <c:v>-4.2494282888178549</c:v>
                </c:pt>
                <c:pt idx="25">
                  <c:v>1.5173203476913557</c:v>
                </c:pt>
                <c:pt idx="26">
                  <c:v>2.1410227224005909</c:v>
                </c:pt>
                <c:pt idx="27">
                  <c:v>-4.7943815837421164</c:v>
                </c:pt>
                <c:pt idx="28">
                  <c:v>4.9782248028692262</c:v>
                </c:pt>
                <c:pt idx="29">
                  <c:v>-2.5026108711501958</c:v>
                </c:pt>
                <c:pt idx="30">
                  <c:v>-1.3992321008500839</c:v>
                </c:pt>
                <c:pt idx="31">
                  <c:v>4.6850412896827613</c:v>
                </c:pt>
                <c:pt idx="32">
                  <c:v>-5.5745137782458682</c:v>
                </c:pt>
                <c:pt idx="33">
                  <c:v>3.5144492023753133</c:v>
                </c:pt>
                <c:pt idx="34">
                  <c:v>0.4853390465706437</c:v>
                </c:pt>
                <c:pt idx="35">
                  <c:v>-4.3455652604498454</c:v>
                </c:pt>
                <c:pt idx="36">
                  <c:v>5.9999479191959963</c:v>
                </c:pt>
                <c:pt idx="37">
                  <c:v>-4.5022397297590775</c:v>
                </c:pt>
                <c:pt idx="38">
                  <c:v>0.56426699825259208</c:v>
                </c:pt>
                <c:pt idx="39">
                  <c:v>3.7793117625670525</c:v>
                </c:pt>
                <c:pt idx="40">
                  <c:v>-6.2233200269608879</c:v>
                </c:pt>
                <c:pt idx="41">
                  <c:v>5.4166049154635623</c:v>
                </c:pt>
                <c:pt idx="42">
                  <c:v>-1.7077486067240069</c:v>
                </c:pt>
                <c:pt idx="43">
                  <c:v>-2.9989034959153176</c:v>
                </c:pt>
                <c:pt idx="44">
                  <c:v>6.2215815911287944</c:v>
                </c:pt>
                <c:pt idx="45">
                  <c:v>-6.2108582907969696</c:v>
                </c:pt>
                <c:pt idx="46">
                  <c:v>2.8990213965363294</c:v>
                </c:pt>
                <c:pt idx="47">
                  <c:v>2.0259381755668859</c:v>
                </c:pt>
                <c:pt idx="48">
                  <c:v>-5.9806629554090822</c:v>
                </c:pt>
                <c:pt idx="49">
                  <c:v>6.8425543549101704</c:v>
                </c:pt>
                <c:pt idx="50">
                  <c:v>-4.0892491263049635</c:v>
                </c:pt>
                <c:pt idx="51">
                  <c:v>-0.89033481919599267</c:v>
                </c:pt>
                <c:pt idx="52">
                  <c:v>5.4960287399511252</c:v>
                </c:pt>
                <c:pt idx="53">
                  <c:v>-7.2749919029739063</c:v>
                </c:pt>
                <c:pt idx="54">
                  <c:v>5.2285259166063662</c:v>
                </c:pt>
                <c:pt idx="55">
                  <c:v>-0.37064671470906457</c:v>
                </c:pt>
                <c:pt idx="56">
                  <c:v>-4.772926691799384</c:v>
                </c:pt>
                <c:pt idx="57">
                  <c:v>7.4785806320630019</c:v>
                </c:pt>
                <c:pt idx="58">
                  <c:v>-6.2676583924331446</c:v>
                </c:pt>
                <c:pt idx="59">
                  <c:v>1.7136727958223117</c:v>
                </c:pt>
                <c:pt idx="60">
                  <c:v>3.8263066854109282</c:v>
                </c:pt>
                <c:pt idx="61">
                  <c:v>-7.4320009351741527</c:v>
                </c:pt>
                <c:pt idx="62">
                  <c:v>7.1599694812748513</c:v>
                </c:pt>
                <c:pt idx="63">
                  <c:v>-3.0908433772929467</c:v>
                </c:pt>
                <c:pt idx="64">
                  <c:v>-2.6804024167683771</c:v>
                </c:pt>
                <c:pt idx="65">
                  <c:v>7.1231018260496191</c:v>
                </c:pt>
                <c:pt idx="66">
                  <c:v>-7.8630509877187933</c:v>
                </c:pt>
                <c:pt idx="67">
                  <c:v>4.4513865612305787</c:v>
                </c:pt>
                <c:pt idx="68">
                  <c:v>1.3679826264826545</c:v>
                </c:pt>
                <c:pt idx="69">
                  <c:v>-6.5494952435767013</c:v>
                </c:pt>
                <c:pt idx="70">
                  <c:v>8.3403969372071902</c:v>
                </c:pt>
                <c:pt idx="71">
                  <c:v>-5.7434813478137627</c:v>
                </c:pt>
                <c:pt idx="72">
                  <c:v>7.0708193929448881E-2</c:v>
                </c:pt>
                <c:pt idx="73">
                  <c:v>5.7188178758663195</c:v>
                </c:pt>
                <c:pt idx="74">
                  <c:v>-8.5628553513217298</c:v>
                </c:pt>
                <c:pt idx="75">
                  <c:v>6.9161451086029189</c:v>
                </c:pt>
                <c:pt idx="76">
                  <c:v>-1.5892877263412657</c:v>
                </c:pt>
                <c:pt idx="77">
                  <c:v>-4.6486445520194559</c:v>
                </c:pt>
                <c:pt idx="78">
                  <c:v>8.5098431166814468</c:v>
                </c:pt>
                <c:pt idx="79">
                  <c:v>-7.9211198019334184</c:v>
                </c:pt>
                <c:pt idx="80">
                  <c:v>3.1368099234572235</c:v>
                </c:pt>
                <c:pt idx="81">
                  <c:v>3.3660501879190829</c:v>
                </c:pt>
                <c:pt idx="82">
                  <c:v>-8.1702770778129725</c:v>
                </c:pt>
                <c:pt idx="83">
                  <c:v>8.7146905452029841</c:v>
                </c:pt>
                <c:pt idx="84">
                  <c:v>-4.6595238436970536</c:v>
                </c:pt>
                <c:pt idx="85">
                  <c:v>-1.9068300479627009</c:v>
                </c:pt>
                <c:pt idx="86">
                  <c:v>7.5431843399539886</c:v>
                </c:pt>
                <c:pt idx="87">
                  <c:v>-9.2593719580777147</c:v>
                </c:pt>
                <c:pt idx="88">
                  <c:v>6.1027586373056071</c:v>
                </c:pt>
                <c:pt idx="89">
                  <c:v>0.31440040227272603</c:v>
                </c:pt>
                <c:pt idx="90">
                  <c:v>-6.6379657950833604</c:v>
                </c:pt>
                <c:pt idx="91">
                  <c:v>9.5254016739727252</c:v>
                </c:pt>
                <c:pt idx="92">
                  <c:v>-7.4128709802329045</c:v>
                </c:pt>
                <c:pt idx="93">
                  <c:v>1.3615868198653047</c:v>
                </c:pt>
                <c:pt idx="94">
                  <c:v>5.4742987810830872</c:v>
                </c:pt>
                <c:pt idx="95">
                  <c:v>-9.4919864791718371</c:v>
                </c:pt>
                <c:pt idx="96">
                  <c:v>8.5391883245993458</c:v>
                </c:pt>
                <c:pt idx="97">
                  <c:v>-3.0668714004792066</c:v>
                </c:pt>
                <c:pt idx="98">
                  <c:v>-4.0816771910445757</c:v>
                </c:pt>
                <c:pt idx="99">
                  <c:v>9.1482544969587529</c:v>
                </c:pt>
                <c:pt idx="100">
                  <c:v>-9.4358806906394435</c:v>
                </c:pt>
                <c:pt idx="101">
                  <c:v>4.7444013380067309</c:v>
                </c:pt>
                <c:pt idx="102">
                  <c:v>2.4985998749849556</c:v>
                </c:pt>
                <c:pt idx="103">
                  <c:v>-8.4938764371236175</c:v>
                </c:pt>
                <c:pt idx="104">
                  <c:v>10.063695389940504</c:v>
                </c:pt>
                <c:pt idx="105">
                  <c:v>-6.3362784493034194</c:v>
                </c:pt>
                <c:pt idx="106">
                  <c:v>-0.77143041253882416</c:v>
                </c:pt>
                <c:pt idx="107">
                  <c:v>7.5393298697223132</c:v>
                </c:pt>
                <c:pt idx="108">
                  <c:v>-10.391492995421594</c:v>
                </c:pt>
                <c:pt idx="109">
                  <c:v>7.7857678841650184</c:v>
                </c:pt>
                <c:pt idx="110">
                  <c:v>-1.0470371222559129</c:v>
                </c:pt>
                <c:pt idx="111">
                  <c:v>-6.3057923989169566</c:v>
                </c:pt>
                <c:pt idx="112">
                  <c:v>10.397528938685774</c:v>
                </c:pt>
                <c:pt idx="113">
                  <c:v>-9.0393034025530472</c:v>
                </c:pt>
                <c:pt idx="114">
                  <c:v>2.8992613215633303</c:v>
                </c:pt>
                <c:pt idx="115">
                  <c:v>4.8246621156533482</c:v>
                </c:pt>
                <c:pt idx="116">
                  <c:v>-10.070433128416685</c:v>
                </c:pt>
                <c:pt idx="117">
                  <c:v>10.048419591035934</c:v>
                </c:pt>
                <c:pt idx="118">
                  <c:v>-4.7248314224844199</c:v>
                </c:pt>
                <c:pt idx="119">
                  <c:v>-3.1367163818903627</c:v>
                </c:pt>
                <c:pt idx="120">
                  <c:v>9.4098496877067301</c:v>
                </c:pt>
                <c:pt idx="121">
                  <c:v>-10.771543849477286</c:v>
                </c:pt>
                <c:pt idx="122">
                  <c:v>6.4624787198522036</c:v>
                </c:pt>
                <c:pt idx="123">
                  <c:v>1.2909324207263302</c:v>
                </c:pt>
                <c:pt idx="124">
                  <c:v>-8.4267099896611182</c:v>
                </c:pt>
                <c:pt idx="125">
                  <c:v>11.175584922131915</c:v>
                </c:pt>
                <c:pt idx="126">
                  <c:v>-8.0521547560588012</c:v>
                </c:pt>
                <c:pt idx="127">
                  <c:v>0.65699506196862478</c:v>
                </c:pt>
                <c:pt idx="128">
                  <c:v>7.1431242679751925</c:v>
                </c:pt>
                <c:pt idx="129">
                  <c:v>-11.237260863605316</c:v>
                </c:pt>
                <c:pt idx="130">
                  <c:v>9.4371065532355498</c:v>
                </c:pt>
                <c:pt idx="131">
                  <c:v>-2.6463933163454794</c:v>
                </c:pt>
                <c:pt idx="132">
                  <c:v>-5.5918897952271891</c:v>
                </c:pt>
                <c:pt idx="133">
                  <c:v>10.944117431807816</c:v>
                </c:pt>
                <c:pt idx="134">
                  <c:v>-10.565878391016922</c:v>
                </c:pt>
                <c:pt idx="135">
                  <c:v>4.6135528920508646</c:v>
                </c:pt>
                <c:pt idx="136">
                  <c:v>3.8156265360708761</c:v>
                </c:pt>
                <c:pt idx="137">
                  <c:v>-10.295197732281336</c:v>
                </c:pt>
                <c:pt idx="138">
                  <c:v>11.394171230988468</c:v>
                </c:pt>
                <c:pt idx="139">
                  <c:v>-6.493808238438481</c:v>
                </c:pt>
                <c:pt idx="140">
                  <c:v>-1.8655638656248734</c:v>
                </c:pt>
                <c:pt idx="141">
                  <c:v>9.3013351873476093</c:v>
                </c:pt>
                <c:pt idx="142">
                  <c:v>-11.886494813328499</c:v>
                </c:pt>
                <c:pt idx="143">
                  <c:v>8.2236894418606035</c:v>
                </c:pt>
                <c:pt idx="144">
                  <c:v>-0.19998602981876196</c:v>
                </c:pt>
                <c:pt idx="145">
                  <c:v>-7.9850542065451231</c:v>
                </c:pt>
                <c:pt idx="146">
                  <c:v>12.017553591564148</c:v>
                </c:pt>
                <c:pt idx="147">
                  <c:v>-9.7430737290417113</c:v>
                </c:pt>
                <c:pt idx="148">
                  <c:v>2.3174214885288422</c:v>
                </c:pt>
                <c:pt idx="149">
                  <c:v>6.3800758914248403</c:v>
                </c:pt>
                <c:pt idx="150">
                  <c:v>-11.773315842935636</c:v>
                </c:pt>
                <c:pt idx="151">
                  <c:v>10.997264462603924</c:v>
                </c:pt>
                <c:pt idx="152">
                  <c:v>-4.4198553370247824</c:v>
                </c:pt>
                <c:pt idx="153">
                  <c:v>-4.5304392930928703</c:v>
                </c:pt>
                <c:pt idx="154">
                  <c:v>11.151725241385472</c:v>
                </c:pt>
                <c:pt idx="155">
                  <c:v>-11.938926851451704</c:v>
                </c:pt>
                <c:pt idx="156">
                  <c:v>6.4392656122770138</c:v>
                </c:pt>
                <c:pt idx="157">
                  <c:v>2.4892617191401203</c:v>
                </c:pt>
                <c:pt idx="158">
                  <c:v>-10.163025593684624</c:v>
                </c:pt>
                <c:pt idx="159">
                  <c:v>12.529813467433236</c:v>
                </c:pt>
                <c:pt idx="160">
                  <c:v>-8.3087234522116269</c:v>
                </c:pt>
                <c:pt idx="161">
                  <c:v>-0.31717392559734564</c:v>
                </c:pt>
                <c:pt idx="162">
                  <c:v>8.829681951957598</c:v>
                </c:pt>
                <c:pt idx="163">
                  <c:v>-12.742218794271912</c:v>
                </c:pt>
                <c:pt idx="164">
                  <c:v>9.9646250920034465</c:v>
                </c:pt>
                <c:pt idx="165">
                  <c:v>-1.9195226852049647</c:v>
                </c:pt>
                <c:pt idx="166">
                  <c:v>-7.1858945240209504</c:v>
                </c:pt>
                <c:pt idx="167">
                  <c:v>12.560110253640321</c:v>
                </c:pt>
                <c:pt idx="168">
                  <c:v>-11.348853816130525</c:v>
                </c:pt>
                <c:pt idx="169">
                  <c:v>4.1509198917706112</c:v>
                </c:pt>
                <c:pt idx="170">
                  <c:v>5.276715276450318</c:v>
                </c:pt>
                <c:pt idx="171">
                  <c:v>-11.979893204545069</c:v>
                </c:pt>
                <c:pt idx="172">
                  <c:v>12.410799071917211</c:v>
                </c:pt>
                <c:pt idx="173">
                  <c:v>-6.3057224641099632</c:v>
                </c:pt>
                <c:pt idx="174">
                  <c:v>-3.1567904219555238</c:v>
                </c:pt>
                <c:pt idx="175">
                  <c:v>11.010778981835236</c:v>
                </c:pt>
                <c:pt idx="176">
                  <c:v>-13.10916372806912</c:v>
                </c:pt>
                <c:pt idx="177">
                  <c:v>8.3135529033051156</c:v>
                </c:pt>
                <c:pt idx="178">
                  <c:v>0.88876466226424489</c:v>
                </c:pt>
                <c:pt idx="179">
                  <c:v>-9.6747377609213334</c:v>
                </c:pt>
                <c:pt idx="180">
                  <c:v>13.413496560631177</c:v>
                </c:pt>
                <c:pt idx="181">
                  <c:v>-10.107266319531984</c:v>
                </c:pt>
                <c:pt idx="182">
                  <c:v>1.4586053031543116</c:v>
                </c:pt>
                <c:pt idx="183">
                  <c:v>8.0060315011788639</c:v>
                </c:pt>
                <c:pt idx="184">
                  <c:v>-13.305395290548001</c:v>
                </c:pt>
                <c:pt idx="185">
                  <c:v>11.625199344503024</c:v>
                </c:pt>
                <c:pt idx="186">
                  <c:v>-3.8125702864575</c:v>
                </c:pt>
                <c:pt idx="187">
                  <c:v>-6.0503359946319755</c:v>
                </c:pt>
                <c:pt idx="188">
                  <c:v>12.779335631949822</c:v>
                </c:pt>
                <c:pt idx="189">
                  <c:v>-12.813278150252534</c:v>
                </c:pt>
                <c:pt idx="190">
                  <c:v>6.0986749999210925</c:v>
                </c:pt>
                <c:pt idx="191">
                  <c:v>3.8634746799762234</c:v>
                </c:pt>
                <c:pt idx="192">
                  <c:v>-11.843093524251865</c:v>
                </c:pt>
                <c:pt idx="193">
                  <c:v>13.626914297251092</c:v>
                </c:pt>
                <c:pt idx="194">
                  <c:v>-8.2431388383450077</c:v>
                </c:pt>
                <c:pt idx="195">
                  <c:v>-1.5097999265647437</c:v>
                </c:pt>
                <c:pt idx="196">
                  <c:v>10.517740645811521</c:v>
                </c:pt>
                <c:pt idx="197">
                  <c:v>-14.032623166208797</c:v>
                </c:pt>
                <c:pt idx="198">
                  <c:v>10.175254529106708</c:v>
                </c:pt>
                <c:pt idx="199">
                  <c:v>-0.93973048477660648</c:v>
                </c:pt>
                <c:pt idx="200">
                  <c:v>-8.8372070309834658</c:v>
                </c:pt>
                <c:pt idx="201">
                  <c:v>14.009307965742652</c:v>
                </c:pt>
                <c:pt idx="202">
                  <c:v>-11.829726543140092</c:v>
                </c:pt>
                <c:pt idx="203">
                  <c:v>3.4097233606584698</c:v>
                </c:pt>
                <c:pt idx="204">
                  <c:v>6.8474186951242046</c:v>
                </c:pt>
                <c:pt idx="205">
                  <c:v>-13.5491625049482</c:v>
                </c:pt>
                <c:pt idx="206">
                  <c:v>13.148872116180213</c:v>
                </c:pt>
                <c:pt idx="207">
                  <c:v>-5.8226994399294512</c:v>
                </c:pt>
                <c:pt idx="208">
                  <c:v>-4.6050321569542199</c:v>
                </c:pt>
                <c:pt idx="209">
                  <c:v>12.658157762606146</c:v>
                </c:pt>
                <c:pt idx="210">
                  <c:v>-14.084611216825033</c:v>
                </c:pt>
                <c:pt idx="211">
                  <c:v>8.1015482319628553</c:v>
                </c:pt>
                <c:pt idx="212">
                  <c:v>2.1758011772282169</c:v>
                </c:pt>
                <c:pt idx="213">
                  <c:v>-11.35609040331931</c:v>
                </c:pt>
                <c:pt idx="214">
                  <c:v>14.600177727600741</c:v>
                </c:pt>
                <c:pt idx="215">
                  <c:v>-10.172010109189838</c:v>
                </c:pt>
                <c:pt idx="216">
                  <c:v>0.36737653608550136</c:v>
                </c:pt>
                <c:pt idx="217">
                  <c:v>9.6761853708397911</c:v>
                </c:pt>
                <c:pt idx="218">
                  <c:v>-14.671492309028174</c:v>
                </c:pt>
                <c:pt idx="219">
                  <c:v>11.965105525866615</c:v>
                </c:pt>
                <c:pt idx="220">
                  <c:v>-2.9466738880654066</c:v>
                </c:pt>
                <c:pt idx="221">
                  <c:v>-7.6642590837361739</c:v>
                </c:pt>
                <c:pt idx="222">
                  <c:v>14.288147650518773</c:v>
                </c:pt>
                <c:pt idx="223">
                  <c:v>-13.419431931153508</c:v>
                </c:pt>
                <c:pt idx="224">
                  <c:v>5.4817422223465737</c:v>
                </c:pt>
                <c:pt idx="225">
                  <c:v>5.3774641047258314</c:v>
                </c:pt>
                <c:pt idx="226">
                  <c:v>-13.453968763591456</c:v>
                </c:pt>
                <c:pt idx="227">
                  <c:v>14.483252228655347</c:v>
                </c:pt>
                <c:pt idx="228">
                  <c:v>-7.8922372831645244</c:v>
                </c:pt>
                <c:pt idx="229">
                  <c:v>-2.8826499860194921</c:v>
                </c:pt>
                <c:pt idx="230">
                  <c:v>12.18712427185233</c:v>
                </c:pt>
                <c:pt idx="231">
                  <c:v>-15.116304426545575</c:v>
                </c:pt>
                <c:pt idx="232">
                  <c:v>10.100383413041905</c:v>
                </c:pt>
                <c:pt idx="233">
                  <c:v>0.25438785490382054</c:v>
                </c:pt>
                <c:pt idx="234">
                  <c:v>-10.519778880539215</c:v>
                </c:pt>
                <c:pt idx="235">
                  <c:v>15.291270259371505</c:v>
                </c:pt>
                <c:pt idx="236">
                  <c:v>-12.033493847514933</c:v>
                </c:pt>
                <c:pt idx="237">
                  <c:v>2.4272822297623304</c:v>
                </c:pt>
                <c:pt idx="238">
                  <c:v>8.4972919148310506</c:v>
                </c:pt>
                <c:pt idx="239">
                  <c:v>-14.994850805036082</c:v>
                </c:pt>
                <c:pt idx="240">
                  <c:v>13.626365363380522</c:v>
                </c:pt>
                <c:pt idx="241">
                  <c:v>-5.0793124338837297</c:v>
                </c:pt>
                <c:pt idx="242">
                  <c:v>-6.1769815291963122</c:v>
                </c:pt>
                <c:pt idx="243">
                  <c:v>14.228409157940288</c:v>
                </c:pt>
                <c:pt idx="244">
                  <c:v>-14.823468578332022</c:v>
                </c:pt>
                <c:pt idx="245">
                  <c:v>7.6182405275490011</c:v>
                </c:pt>
                <c:pt idx="246">
                  <c:v>3.6264884344629023</c:v>
                </c:pt>
                <c:pt idx="247">
                  <c:v>-13.008153680841691</c:v>
                </c:pt>
                <c:pt idx="248">
                  <c:v>15.580860815934111</c:v>
                </c:pt>
                <c:pt idx="249">
                  <c:v>-9.9628340018677868</c:v>
                </c:pt>
                <c:pt idx="250">
                  <c:v>-0.92178630015641616</c:v>
                </c:pt>
                <c:pt idx="251">
                  <c:v>11.364849823407448</c:v>
                </c:pt>
                <c:pt idx="252">
                  <c:v>-15.867756485312784</c:v>
                </c:pt>
                <c:pt idx="253">
                  <c:v>12.036700811319001</c:v>
                </c:pt>
                <c:pt idx="254">
                  <c:v>-1.8551020719690718</c:v>
                </c:pt>
                <c:pt idx="255">
                  <c:v>-9.343063507988024</c:v>
                </c:pt>
                <c:pt idx="256">
                  <c:v>15.66770014469269</c:v>
                </c:pt>
                <c:pt idx="257">
                  <c:v>-13.770782683015655</c:v>
                </c:pt>
                <c:pt idx="258">
                  <c:v>4.6186135396402248</c:v>
                </c:pt>
                <c:pt idx="259">
                  <c:v>6.9999541647700205</c:v>
                </c:pt>
                <c:pt idx="260">
                  <c:v>-14.979299514661133</c:v>
                </c:pt>
                <c:pt idx="261">
                  <c:v>15.105649692628081</c:v>
                </c:pt>
                <c:pt idx="262">
                  <c:v>-7.2823010618825252</c:v>
                </c:pt>
                <c:pt idx="263">
                  <c:v>-4.4036501639847616</c:v>
                </c:pt>
                <c:pt idx="264">
                  <c:v>13.816489310145975</c:v>
                </c:pt>
                <c:pt idx="265">
                  <c:v>-15.99352020802095</c:v>
                </c:pt>
                <c:pt idx="266">
                  <c:v>9.7615548205050029</c:v>
                </c:pt>
                <c:pt idx="267">
                  <c:v>1.6312531667500754</c:v>
                </c:pt>
                <c:pt idx="268">
                  <c:v>-12.208311447059653</c:v>
                </c:pt>
                <c:pt idx="269">
                  <c:v>16.399938198641003</c:v>
                </c:pt>
                <c:pt idx="270">
                  <c:v>-11.976301996934495</c:v>
                </c:pt>
                <c:pt idx="271">
                  <c:v>1.2334696532390264</c:v>
                </c:pt>
                <c:pt idx="272">
                  <c:v>10.198212489348489</c:v>
                </c:pt>
                <c:pt idx="273">
                  <c:v>-16.305050072490623</c:v>
                </c:pt>
                <c:pt idx="274">
                  <c:v>13.853598851972244</c:v>
                </c:pt>
                <c:pt idx="275">
                  <c:v>-4.1026358901485276</c:v>
                </c:pt>
                <c:pt idx="276">
                  <c:v>-7.8428746494509562</c:v>
                </c:pt>
                <c:pt idx="277">
                  <c:v>15.704435329232576</c:v>
                </c:pt>
                <c:pt idx="278">
                  <c:v>-15.330031190821238</c:v>
                </c:pt>
                <c:pt idx="279">
                  <c:v>6.886962501749414</c:v>
                </c:pt>
                <c:pt idx="280">
                  <c:v>5.210611745922173</c:v>
                </c:pt>
                <c:pt idx="281">
                  <c:v>-14.609459038176128</c:v>
                </c:pt>
                <c:pt idx="282">
                  <c:v>16.353844442424428</c:v>
                </c:pt>
                <c:pt idx="283">
                  <c:v>-9.4985603847193829</c:v>
                </c:pt>
                <c:pt idx="284">
                  <c:v>-2.3793757691310065</c:v>
                </c:pt>
                <c:pt idx="285">
                  <c:v>13.0471290396522</c:v>
                </c:pt>
                <c:pt idx="286">
                  <c:v>-16.886732302997082</c:v>
                </c:pt>
                <c:pt idx="287">
                  <c:v>11.853721075567965</c:v>
                </c:pt>
                <c:pt idx="288">
                  <c:v>-0.56556735489749821</c:v>
                </c:pt>
                <c:pt idx="289">
                  <c:v>-11.059456362353409</c:v>
                </c:pt>
                <c:pt idx="290">
                  <c:v>16.905222965898833</c:v>
                </c:pt>
                <c:pt idx="291">
                  <c:v>-13.87560697440216</c:v>
                </c:pt>
                <c:pt idx="292">
                  <c:v>3.5342230078691292</c:v>
                </c:pt>
                <c:pt idx="293">
                  <c:v>8.7023331558364259</c:v>
                </c:pt>
                <c:pt idx="294">
                  <c:v>-16.401614085204223</c:v>
                </c:pt>
                <c:pt idx="295">
                  <c:v>15.496758559901238</c:v>
                </c:pt>
                <c:pt idx="296">
                  <c:v>-6.4346352403795981</c:v>
                </c:pt>
                <c:pt idx="297">
                  <c:v>-6.0439579532732317</c:v>
                </c:pt>
                <c:pt idx="298">
                  <c:v>15.384421430412564</c:v>
                </c:pt>
                <c:pt idx="299">
                  <c:v>-16.661336916259899</c:v>
                </c:pt>
                <c:pt idx="300">
                  <c:v>9.1757506868070884</c:v>
                </c:pt>
                <c:pt idx="301">
                  <c:v>3.1628528066215491</c:v>
                </c:pt>
                <c:pt idx="302">
                  <c:v>-13.878321260291427</c:v>
                </c:pt>
                <c:pt idx="303">
                  <c:v>17.327027398088074</c:v>
                </c:pt>
                <c:pt idx="304">
                  <c:v>-11.670289452340718</c:v>
                </c:pt>
                <c:pt idx="305">
                  <c:v>-0.14553029705183543</c:v>
                </c:pt>
                <c:pt idx="306">
                  <c:v>11.923582306109283</c:v>
                </c:pt>
                <c:pt idx="307">
                  <c:v>-17.466540203871489</c:v>
                </c:pt>
                <c:pt idx="308">
                  <c:v>13.837532183047225</c:v>
                </c:pt>
                <c:pt idx="309">
                  <c:v>-2.9161198235205208</c:v>
                </c:pt>
                <c:pt idx="310">
                  <c:v>-9.5749994103239686</c:v>
                </c:pt>
                <c:pt idx="311">
                  <c:v>17.068655718235448</c:v>
                </c:pt>
                <c:pt idx="312">
                  <c:v>-15.605934198139819</c:v>
                </c:pt>
                <c:pt idx="313">
                  <c:v>5.9276449492743062</c:v>
                </c:pt>
                <c:pt idx="314">
                  <c:v>6.900356804486802</c:v>
                </c:pt>
                <c:pt idx="315">
                  <c:v>-16.138776353873446</c:v>
                </c:pt>
                <c:pt idx="316">
                  <c:v>16.915482081266148</c:v>
                </c:pt>
                <c:pt idx="317">
                  <c:v>-8.7949582562196458</c:v>
                </c:pt>
                <c:pt idx="318">
                  <c:v>-3.9784642200419729</c:v>
                </c:pt>
                <c:pt idx="319">
                  <c:v>14.698961850525032</c:v>
                </c:pt>
                <c:pt idx="320">
                  <c:v>-17.719715378534989</c:v>
                </c:pt>
                <c:pt idx="321">
                  <c:v>11.42729046664429</c:v>
                </c:pt>
                <c:pt idx="322">
                  <c:v>0.89682301743824266</c:v>
                </c:pt>
                <c:pt idx="323">
                  <c:v>-12.787441099514183</c:v>
                </c:pt>
                <c:pt idx="324">
                  <c:v>17.987345829263216</c:v>
                </c:pt>
                <c:pt idx="325">
                  <c:v>-13.740071849885696</c:v>
                </c:pt>
                <c:pt idx="326">
                  <c:v>2.2510081638141859</c:v>
                </c:pt>
                <c:pt idx="327">
                  <c:v>10.457610054258256</c:v>
                </c:pt>
                <c:pt idx="328">
                  <c:v>-17.703418574954636</c:v>
                </c:pt>
                <c:pt idx="329">
                  <c:v>15.657652793486744</c:v>
                </c:pt>
                <c:pt idx="330">
                  <c:v>-5.3682684955747559</c:v>
                </c:pt>
                <c:pt idx="331">
                  <c:v>-7.7765416394872009</c:v>
                </c:pt>
                <c:pt idx="332">
                  <c:v>16.869973691062487</c:v>
                </c:pt>
                <c:pt idx="333">
                  <c:v>-17.115775422548701</c:v>
                </c:pt>
                <c:pt idx="334">
                  <c:v>8.3579832431557151</c:v>
                </c:pt>
                <c:pt idx="335">
                  <c:v>4.8230492645776373</c:v>
                </c:pt>
                <c:pt idx="336">
                  <c:v>-15.506181741509561</c:v>
                </c:pt>
                <c:pt idx="337">
                  <c:v>18.063715701122725</c:v>
                </c:pt>
                <c:pt idx="338">
                  <c:v>-11.125992575438541</c:v>
                </c:pt>
                <c:pt idx="339">
                  <c:v>-1.6853600752299609</c:v>
                </c:pt>
                <c:pt idx="340">
                  <c:v>13.647943393856059</c:v>
                </c:pt>
                <c:pt idx="341">
                  <c:v>-18.466025023656435</c:v>
                </c:pt>
                <c:pt idx="342">
                  <c:v>13.583926007321027</c:v>
                </c:pt>
                <c:pt idx="343">
                  <c:v>-1.5415330281522497</c:v>
                </c:pt>
                <c:pt idx="344">
                  <c:v>-11.346959944546658</c:v>
                </c:pt>
                <c:pt idx="345">
                  <c:v>18.303812216505754</c:v>
                </c:pt>
                <c:pt idx="346">
                  <c:v>-15.652028326328526</c:v>
                </c:pt>
                <c:pt idx="347">
                  <c:v>4.7587607413524919</c:v>
                </c:pt>
                <c:pt idx="348">
                  <c:v>8.6692983608036549</c:v>
                </c:pt>
                <c:pt idx="349">
                  <c:v>-17.57552076405344</c:v>
                </c:pt>
                <c:pt idx="350">
                  <c:v>17.26174658525726</c:v>
                </c:pt>
                <c:pt idx="351">
                  <c:v>-7.8666197963887345</c:v>
                </c:pt>
                <c:pt idx="352">
                  <c:v>-5.6934906171967521</c:v>
                </c:pt>
                <c:pt idx="353">
                  <c:v>16.297171528589001</c:v>
                </c:pt>
                <c:pt idx="354">
                  <c:v>-18.357994364940932</c:v>
                </c:pt>
                <c:pt idx="355">
                  <c:v>10.767674503046218</c:v>
                </c:pt>
                <c:pt idx="356">
                  <c:v>2.5082221742134312</c:v>
                </c:pt>
                <c:pt idx="357">
                  <c:v>-14.502057773176137</c:v>
                </c:pt>
                <c:pt idx="358">
                  <c:v>18.901018841159058</c:v>
                </c:pt>
                <c:pt idx="359">
                  <c:v>-13.369820609016744</c:v>
                </c:pt>
                <c:pt idx="360">
                  <c:v>0.79032207368616181</c:v>
                </c:pt>
                <c:pt idx="361">
                  <c:v>12.239896408934806</c:v>
                </c:pt>
                <c:pt idx="362">
                  <c:v>-18.867807957237332</c:v>
                </c:pt>
                <c:pt idx="363">
                  <c:v>15.589214927704464</c:v>
                </c:pt>
                <c:pt idx="364">
                  <c:v>-4.1013746012704715</c:v>
                </c:pt>
                <c:pt idx="365">
                  <c:v>-9.5754565367740678</c:v>
                </c:pt>
                <c:pt idx="366">
                  <c:v>18.252988858430335</c:v>
                </c:pt>
                <c:pt idx="367">
                  <c:v>-17.352977461286379</c:v>
                </c:pt>
                <c:pt idx="368">
                  <c:v>7.3226759850768017</c:v>
                </c:pt>
                <c:pt idx="369">
                  <c:v>6.5867029975394971</c:v>
                </c:pt>
                <c:pt idx="370">
                  <c:v>-17.069184266693217</c:v>
                </c:pt>
                <c:pt idx="371">
                  <c:v>18.601578994684029</c:v>
                </c:pt>
                <c:pt idx="372">
                  <c:v>-10.353644415287913</c:v>
                </c:pt>
                <c:pt idx="373">
                  <c:v>-3.362508253851189</c:v>
                </c:pt>
                <c:pt idx="374">
                  <c:v>15.346810189746856</c:v>
                </c:pt>
                <c:pt idx="375">
                  <c:v>-19.290836182790812</c:v>
                </c:pt>
                <c:pt idx="376">
                  <c:v>13.098525447806333</c:v>
                </c:pt>
                <c:pt idx="377">
                  <c:v>-9.248308720408502E-12</c:v>
                </c:pt>
                <c:pt idx="378">
                  <c:v>-13.133315749305467</c:v>
                </c:pt>
                <c:pt idx="379">
                  <c:v>19.393447737434251</c:v>
                </c:pt>
                <c:pt idx="380">
                  <c:v>-15.469423138774721</c:v>
                </c:pt>
                <c:pt idx="381">
                  <c:v>3.3983760234365499</c:v>
                </c:pt>
                <c:pt idx="382">
                  <c:v>10.491883437804141</c:v>
                </c:pt>
                <c:pt idx="383">
                  <c:v>-18.900019098914832</c:v>
                </c:pt>
                <c:pt idx="384">
                  <c:v>17.389116492778264</c:v>
                </c:pt>
                <c:pt idx="385">
                  <c:v>-6.7279888443983324</c:v>
                </c:pt>
                <c:pt idx="386">
                  <c:v>-7.4996252193852495</c:v>
                </c:pt>
                <c:pt idx="387">
                  <c:v>17.819538534181781</c:v>
                </c:pt>
                <c:pt idx="388">
                  <c:v>-18.793570991144055</c:v>
                </c:pt>
                <c:pt idx="389">
                  <c:v>9.8852545658263882</c:v>
                </c:pt>
                <c:pt idx="390">
                  <c:v>4.2453260374289759</c:v>
                </c:pt>
                <c:pt idx="391">
                  <c:v>-16.179284465085146</c:v>
                </c:pt>
                <c:pt idx="392">
                  <c:v>19.634063689985311</c:v>
                </c:pt>
                <c:pt idx="393">
                  <c:v>-12.770868012160943</c:v>
                </c:pt>
                <c:pt idx="394">
                  <c:v>-0.82680096047519414</c:v>
                </c:pt>
                <c:pt idx="395">
                  <c:v>14.024161475853697</c:v>
                </c:pt>
                <c:pt idx="396">
                  <c:v>-19.878851739527338</c:v>
                </c:pt>
                <c:pt idx="397">
                  <c:v>15.292932662587573</c:v>
                </c:pt>
                <c:pt idx="398">
                  <c:v>-2.6520550824962421</c:v>
                </c:pt>
                <c:pt idx="399">
                  <c:v>-11.415480330446799</c:v>
                </c:pt>
                <c:pt idx="400">
                  <c:v>19.514327840767194</c:v>
                </c:pt>
                <c:pt idx="401">
                  <c:v>-17.369890080140809</c:v>
                </c:pt>
                <c:pt idx="402">
                  <c:v>6.0844356750151487</c:v>
                </c:pt>
                <c:pt idx="403">
                  <c:v>8.4292148872992207</c:v>
                </c:pt>
                <c:pt idx="404">
                  <c:v>-18.54562171280266</c:v>
                </c:pt>
                <c:pt idx="405">
                  <c:v>18.933155429134509</c:v>
                </c:pt>
                <c:pt idx="406">
                  <c:v>-9.3639124522671295</c:v>
                </c:pt>
                <c:pt idx="407">
                  <c:v>-5.1537854764631188</c:v>
                </c:pt>
                <c:pt idx="408">
                  <c:v>16.996623620585833</c:v>
                </c:pt>
                <c:pt idx="409">
                  <c:v>-19.929374033946246</c:v>
                </c:pt>
                <c:pt idx="410">
                  <c:v>12.387744200447868</c:v>
                </c:pt>
                <c:pt idx="411">
                  <c:v>1.6874335711595367</c:v>
                </c:pt>
                <c:pt idx="412">
                  <c:v>-14.909423886843456</c:v>
                </c:pt>
                <c:pt idx="413">
                  <c:v>20.32222503173389</c:v>
                </c:pt>
                <c:pt idx="414">
                  <c:v>-15.06010239177361</c:v>
                </c:pt>
                <c:pt idx="415">
                  <c:v>1.8647340491052993</c:v>
                </c:pt>
                <c:pt idx="416">
                  <c:v>12.343180529576934</c:v>
                </c:pt>
                <c:pt idx="417">
                  <c:v>-20.093711684175641</c:v>
                </c:pt>
                <c:pt idx="418">
                  <c:v>17.295111731972504</c:v>
                </c:pt>
                <c:pt idx="419">
                  <c:v>-5.3939424187009122</c:v>
                </c:pt>
                <c:pt idx="420">
                  <c:v>-9.3724451584564399</c:v>
                </c:pt>
                <c:pt idx="421">
                  <c:v>19.244893434492731</c:v>
                </c:pt>
                <c:pt idx="422">
                  <c:v>-19.019609190362363</c:v>
                </c:pt>
                <c:pt idx="423">
                  <c:v>8.7910892377552976</c:v>
                </c:pt>
                <c:pt idx="424">
                  <c:v>6.0849944636639384</c:v>
                </c:pt>
                <c:pt idx="425">
                  <c:v>-17.796031854699255</c:v>
                </c:pt>
                <c:pt idx="426">
                  <c:v>20.175532940669171</c:v>
                </c:pt>
                <c:pt idx="427">
                  <c:v>-11.950126563397925</c:v>
                </c:pt>
                <c:pt idx="428">
                  <c:v>-2.5792304926071061</c:v>
                </c:pt>
                <c:pt idx="429">
                  <c:v>15.786140701904586</c:v>
                </c:pt>
                <c:pt idx="430">
                  <c:v>-20.721863438364288</c:v>
                </c:pt>
                <c:pt idx="431">
                  <c:v>14.771378283529952</c:v>
                </c:pt>
                <c:pt idx="432">
                  <c:v>-1.0387730738196661</c:v>
                </c:pt>
                <c:pt idx="433">
                  <c:v>-13.271948832755941</c:v>
                </c:pt>
                <c:pt idx="434">
                  <c:v>20.636052181478497</c:v>
                </c:pt>
                <c:pt idx="435">
                  <c:v>-17.164689421367651</c:v>
                </c:pt>
                <c:pt idx="436">
                  <c:v>4.6584897179919196</c:v>
                </c:pt>
                <c:pt idx="437">
                  <c:v>10.326303134713033</c:v>
                </c:pt>
                <c:pt idx="438">
                  <c:v>-19.914889149637141</c:v>
                </c:pt>
                <c:pt idx="439">
                  <c:v>19.0523076855848</c:v>
                </c:pt>
                <c:pt idx="440">
                  <c:v>-8.1683259971303954</c:v>
                </c:pt>
                <c:pt idx="441">
                  <c:v>-7.0360563440047539</c:v>
                </c:pt>
                <c:pt idx="442">
                  <c:v>18.574777022751412</c:v>
                </c:pt>
                <c:pt idx="443">
                  <c:v>-20.371405196960698</c:v>
                </c:pt>
                <c:pt idx="444">
                  <c:v>11.459070570645492</c:v>
                </c:pt>
                <c:pt idx="445">
                  <c:v>3.4995010726817277</c:v>
                </c:pt>
                <c:pt idx="446">
                  <c:v>-16.651398524081376</c:v>
                </c:pt>
                <c:pt idx="447">
                  <c:v>21.076158777962409</c:v>
                </c:pt>
                <c:pt idx="448">
                  <c:v>-14.427299504632993</c:v>
                </c:pt>
                <c:pt idx="449">
                  <c:v>0.17657396394130373</c:v>
                </c:pt>
                <c:pt idx="450">
                  <c:v>14.198782049726848</c:v>
                </c:pt>
                <c:pt idx="451">
                  <c:v>-21.139320282103355</c:v>
                </c:pt>
                <c:pt idx="452">
                  <c:v>16.978631491695346</c:v>
                </c:pt>
                <c:pt idx="453">
                  <c:v>-3.8801171155882064</c:v>
                </c:pt>
                <c:pt idx="454">
                  <c:v>-11.287789553675493</c:v>
                </c:pt>
                <c:pt idx="455">
                  <c:v>20.553223775797559</c:v>
                </c:pt>
                <c:pt idx="456">
                  <c:v>-19.030730426917557</c:v>
                </c:pt>
                <c:pt idx="457">
                  <c:v>7.4972382070313115</c:v>
                </c:pt>
                <c:pt idx="458">
                  <c:v>8.0040688659956061</c:v>
                </c:pt>
                <c:pt idx="459">
                  <c:v>-19.330193504464919</c:v>
                </c:pt>
                <c:pt idx="460">
                  <c:v>20.515959816626111</c:v>
                </c:pt>
                <c:pt idx="461">
                  <c:v>-10.915719273389508</c:v>
                </c:pt>
                <c:pt idx="462">
                  <c:v>-4.4455296571766292</c:v>
                </c:pt>
                <c:pt idx="463">
                  <c:v>17.502334955105859</c:v>
                </c:pt>
                <c:pt idx="464">
                  <c:v>-21.383603570093399</c:v>
                </c:pt>
                <c:pt idx="465">
                  <c:v>14.028503163262117</c:v>
                </c:pt>
                <c:pt idx="466">
                  <c:v>0.71941758305012271</c:v>
                </c:pt>
                <c:pt idx="467">
                  <c:v>-15.120710404289483</c:v>
                </c:pt>
                <c:pt idx="468">
                  <c:v>21.601580543425314</c:v>
                </c:pt>
                <c:pt idx="469">
                  <c:v>-16.737051368653031</c:v>
                </c:pt>
                <c:pt idx="470">
                  <c:v>3.0609257401794236</c:v>
                </c:pt>
                <c:pt idx="471">
                  <c:v>12.253919522787445</c:v>
                </c:pt>
                <c:pt idx="472">
                  <c:v>-21.157595390033734</c:v>
                </c:pt>
                <c:pt idx="473">
                  <c:v>18.954465644654352</c:v>
                </c:pt>
                <c:pt idx="474">
                  <c:v>-6.7795187986397121</c:v>
                </c:pt>
                <c:pt idx="475">
                  <c:v>-8.9861242971610515</c:v>
                </c:pt>
                <c:pt idx="476">
                  <c:v>20.059685366263206</c:v>
                </c:pt>
                <c:pt idx="477">
                  <c:v>-20.60827449900286</c:v>
                </c:pt>
                <c:pt idx="478">
                  <c:v>10.321306645941199</c:v>
                </c:pt>
                <c:pt idx="479">
                  <c:v>5.4145751373046673</c:v>
                </c:pt>
                <c:pt idx="480">
                  <c:v>-18.336141224621787</c:v>
                </c:pt>
                <c:pt idx="481">
                  <c:v>21.642795283178291</c:v>
                </c:pt>
                <c:pt idx="482">
                  <c:v>-13.575727868238465</c:v>
                </c:pt>
                <c:pt idx="483">
                  <c:v>-1.6467110093070265</c:v>
                </c:pt>
                <c:pt idx="484">
                  <c:v>16.034799633622782</c:v>
                </c:pt>
                <c:pt idx="485">
                  <c:v>-22.020995124358645</c:v>
                </c:pt>
                <c:pt idx="486">
                  <c:v>16.440171272858773</c:v>
                </c:pt>
                <c:pt idx="487">
                  <c:v>-2.2030797454664266</c:v>
                </c:pt>
                <c:pt idx="488">
                  <c:v>-13.221724095965916</c:v>
                </c:pt>
                <c:pt idx="489">
                  <c:v>21.72578893172405</c:v>
                </c:pt>
                <c:pt idx="490">
                  <c:v>-18.823214094957063</c:v>
                </c:pt>
                <c:pt idx="491">
                  <c:v>6.0169400186743962</c:v>
                </c:pt>
                <c:pt idx="492">
                  <c:v>9.9793104880065506</c:v>
                </c:pt>
                <c:pt idx="493">
                  <c:v>-20.760729742087342</c:v>
                </c:pt>
                <c:pt idx="494">
                  <c:v>20.647539478234755</c:v>
                </c:pt>
                <c:pt idx="495">
                  <c:v>-9.677159823573124</c:v>
                </c:pt>
                <c:pt idx="496">
                  <c:v>-6.4038715125410075</c:v>
                </c:pt>
                <c:pt idx="497">
                  <c:v>19.150065221638826</c:v>
                </c:pt>
                <c:pt idx="498">
                  <c:v>-21.852440175563743</c:v>
                </c:pt>
                <c:pt idx="499">
                  <c:v>13.069816300305197</c:v>
                </c:pt>
                <c:pt idx="500">
                  <c:v>2.6027709709248743</c:v>
                </c:pt>
                <c:pt idx="501">
                  <c:v>-16.938153645557676</c:v>
                </c:pt>
                <c:pt idx="502">
                  <c:v>22.395827570794619</c:v>
                </c:pt>
                <c:pt idx="503">
                  <c:v>-16.088325081871499</c:v>
                </c:pt>
                <c:pt idx="504">
                  <c:v>1.3088067107478063</c:v>
                </c:pt>
                <c:pt idx="505">
                  <c:v>14.188252533834159</c:v>
                </c:pt>
                <c:pt idx="506">
                  <c:v>-22.255679886240973</c:v>
                </c:pt>
                <c:pt idx="507">
                  <c:v>18.636792169765997</c:v>
                </c:pt>
                <c:pt idx="508">
                  <c:v>-5.2113542899158976</c:v>
                </c:pt>
                <c:pt idx="509">
                  <c:v>-10.980712713626241</c:v>
                </c:pt>
                <c:pt idx="510">
                  <c:v>21.430880369573742</c:v>
                </c:pt>
                <c:pt idx="511">
                  <c:v>-20.633060837248234</c:v>
                </c:pt>
                <c:pt idx="512">
                  <c:v>8.9847004061235101</c:v>
                </c:pt>
                <c:pt idx="513">
                  <c:v>7.4106292935431766</c:v>
                </c:pt>
                <c:pt idx="514">
                  <c:v>-19.941414837204491</c:v>
                </c:pt>
                <c:pt idx="515">
                  <c:v>22.011356767532899</c:v>
                </c:pt>
                <c:pt idx="516">
                  <c:v>-12.511716938990876</c:v>
                </c:pt>
                <c:pt idx="517">
                  <c:v>-3.5850182839503901</c:v>
                </c:pt>
                <c:pt idx="518">
                  <c:v>17.827917621318768</c:v>
                </c:pt>
                <c:pt idx="519">
                  <c:v>-22.724446396772116</c:v>
                </c:pt>
                <c:pt idx="520">
                  <c:v>15.681960456787751</c:v>
                </c:pt>
                <c:pt idx="521">
                  <c:v>-0.38039716741572038</c:v>
                </c:pt>
                <c:pt idx="522">
                  <c:v>-15.150575119544623</c:v>
                </c:pt>
                <c:pt idx="523">
                  <c:v>22.745237922874313</c:v>
                </c:pt>
                <c:pt idx="524">
                  <c:v>-18.395134394642955</c:v>
                </c:pt>
                <c:pt idx="525">
                  <c:v>4.3646942221712424</c:v>
                </c:pt>
                <c:pt idx="526">
                  <c:v>11.987416155877224</c:v>
                </c:pt>
                <c:pt idx="527">
                  <c:v>-22.067771228506171</c:v>
                </c:pt>
                <c:pt idx="528">
                  <c:v>20.564263342336194</c:v>
                </c:pt>
                <c:pt idx="529">
                  <c:v>-8.2454449606073847</c:v>
                </c:pt>
                <c:pt idx="530">
                  <c:v>-8.4320376048019767</c:v>
                </c:pt>
                <c:pt idx="531">
                  <c:v>20.707561543387762</c:v>
                </c:pt>
                <c:pt idx="532">
                  <c:v>-22.118478971480311</c:v>
                </c:pt>
                <c:pt idx="533">
                  <c:v>11.902485057913591</c:v>
                </c:pt>
                <c:pt idx="534">
                  <c:v>4.5908316038787822</c:v>
                </c:pt>
                <c:pt idx="535">
                  <c:v>-18.701281471615335</c:v>
                </c:pt>
                <c:pt idx="536">
                  <c:v>23.005328461713273</c:v>
                </c:pt>
                <c:pt idx="537">
                  <c:v>-15.221640323624001</c:v>
                </c:pt>
                <c:pt idx="538">
                  <c:v>-0.57979661727703591</c:v>
                </c:pt>
                <c:pt idx="539">
                  <c:v>16.105786426203075</c:v>
                </c:pt>
                <c:pt idx="540">
                  <c:v>-23.192530463053362</c:v>
                </c:pt>
                <c:pt idx="541">
                  <c:v>18.09829538097566</c:v>
                </c:pt>
                <c:pt idx="542">
                  <c:v>-3.478971894250511</c:v>
                </c:pt>
                <c:pt idx="543">
                  <c:v>-12.996508914906869</c:v>
                </c:pt>
                <c:pt idx="544">
                  <c:v>22.669120236483227</c:v>
                </c:pt>
                <c:pt idx="545">
                  <c:v>-20.440692841075997</c:v>
                </c:pt>
                <c:pt idx="546">
                  <c:v>7.4610048292811149</c:v>
                </c:pt>
                <c:pt idx="547">
                  <c:v>9.4652668734109771</c:v>
                </c:pt>
                <c:pt idx="548">
                  <c:v>-21.445944145970408</c:v>
                </c:pt>
                <c:pt idx="549">
                  <c:v>22.172858899850784</c:v>
                </c:pt>
                <c:pt idx="550">
                  <c:v>-11.243283078150272</c:v>
                </c:pt>
                <c:pt idx="551">
                  <c:v>-5.6175497267309735</c:v>
                </c:pt>
                <c:pt idx="552">
                  <c:v>19.555483570058495</c:v>
                </c:pt>
                <c:pt idx="553">
                  <c:v>-23.237062141711945</c:v>
                </c:pt>
                <c:pt idx="554">
                  <c:v>14.708043780898812</c:v>
                </c:pt>
                <c:pt idx="555">
                  <c:v>1.5693624927817309</c:v>
                </c:pt>
                <c:pt idx="556">
                  <c:v>-17.051008950113136</c:v>
                </c:pt>
                <c:pt idx="557">
                  <c:v>23.595726157271265</c:v>
                </c:pt>
                <c:pt idx="558">
                  <c:v>-17.746451284716763</c:v>
                </c:pt>
                <c:pt idx="559">
                  <c:v>2.5562775043184476</c:v>
                </c:pt>
                <c:pt idx="560">
                  <c:v>14.005085458634856</c:v>
                </c:pt>
                <c:pt idx="561">
                  <c:v>-23.232732963212797</c:v>
                </c:pt>
                <c:pt idx="562">
                  <c:v>20.262018256418539</c:v>
                </c:pt>
                <c:pt idx="563">
                  <c:v>-6.6330853289651772</c:v>
                </c:pt>
                <c:pt idx="564">
                  <c:v>-10.5074720104412</c:v>
                </c:pt>
                <c:pt idx="565">
                  <c:v>22.154072658168868</c:v>
                </c:pt>
                <c:pt idx="566">
                  <c:v>-22.173669364941123</c:v>
                </c:pt>
                <c:pt idx="567">
                  <c:v>10.535380351824063</c:v>
                </c:pt>
                <c:pt idx="568">
                  <c:v>6.662474419812451</c:v>
                </c:pt>
                <c:pt idx="569">
                  <c:v>-20.387814700145011</c:v>
                </c:pt>
                <c:pt idx="570">
                  <c:v>23.418350291324092</c:v>
                </c:pt>
                <c:pt idx="571">
                  <c:v>-14.141966490372491</c:v>
                </c:pt>
                <c:pt idx="572">
                  <c:v>-2.5858308271854309</c:v>
                </c:pt>
                <c:pt idx="573">
                  <c:v>17.983397038341117</c:v>
                </c:pt>
                <c:pt idx="574">
                  <c:v>-23.953098251201542</c:v>
                </c:pt>
                <c:pt idx="575">
                  <c:v>17.339900813073125</c:v>
                </c:pt>
                <c:pt idx="576">
                  <c:v>-1.5987774682524711</c:v>
                </c:pt>
                <c:pt idx="577">
                  <c:v>-15.01025043404171</c:v>
                </c:pt>
                <c:pt idx="578">
                  <c:v>23.756506329997872</c:v>
                </c:pt>
                <c:pt idx="579">
                  <c:v>-20.028033202439008</c:v>
                </c:pt>
                <c:pt idx="580">
                  <c:v>5.7634844114265826</c:v>
                </c:pt>
                <c:pt idx="581">
                  <c:v>11.555796007488174</c:v>
                </c:pt>
                <c:pt idx="582">
                  <c:v>-22.829532250446498</c:v>
                </c:pt>
                <c:pt idx="583">
                  <c:v>22.120206080591959</c:v>
                </c:pt>
                <c:pt idx="584">
                  <c:v>-9.7801524346274178</c:v>
                </c:pt>
                <c:pt idx="585">
                  <c:v>-7.7228737061332753</c:v>
                </c:pt>
                <c:pt idx="586">
                  <c:v>21.195622161795789</c:v>
                </c:pt>
                <c:pt idx="587">
                  <c:v>-23.54801299137667</c:v>
                </c:pt>
                <c:pt idx="588">
                  <c:v>13.524320597363324</c:v>
                </c:pt>
                <c:pt idx="589">
                  <c:v>3.6266773863339363</c:v>
                </c:pt>
                <c:pt idx="590">
                  <c:v>-18.900141050285004</c:v>
                </c:pt>
                <c:pt idx="591">
                  <c:v>24.263027823340444</c:v>
                </c:pt>
                <c:pt idx="592">
                  <c:v>-16.879065812302041</c:v>
                </c:pt>
                <c:pt idx="593">
                  <c:v>0.6087120317817627</c:v>
                </c:pt>
                <c:pt idx="594">
                  <c:v>16.009122776302664</c:v>
                </c:pt>
                <c:pt idx="595">
                  <c:v>-24.238432265233921</c:v>
                </c:pt>
                <c:pt idx="596">
                  <c:v>19.738657241778036</c:v>
                </c:pt>
                <c:pt idx="597">
                  <c:v>-4.8540908429621794</c:v>
                </c:pt>
                <c:pt idx="598">
                  <c:v>-12.607373883179665</c:v>
                </c:pt>
                <c:pt idx="599">
                  <c:v>23.469987237538209</c:v>
                </c:pt>
                <c:pt idx="600">
                  <c:v>-22.011889572895864</c:v>
                </c:pt>
                <c:pt idx="601">
                  <c:v>8.9790798956814655</c:v>
                </c:pt>
                <c:pt idx="602">
                  <c:v>8.7959855385994068</c:v>
                </c:pt>
                <c:pt idx="603">
                  <c:v>-21.976313991284798</c:v>
                </c:pt>
                <c:pt idx="604">
                  <c:v>23.624990077785327</c:v>
                </c:pt>
                <c:pt idx="605">
                  <c:v>-12.856134218657781</c:v>
                </c:pt>
                <c:pt idx="606">
                  <c:v>-4.6893266296080265</c:v>
                </c:pt>
                <c:pt idx="607">
                  <c:v>19.798471701728936</c:v>
                </c:pt>
                <c:pt idx="608">
                  <c:v>-24.524006878123533</c:v>
                </c:pt>
                <c:pt idx="609">
                  <c:v>16.364491463616989</c:v>
                </c:pt>
                <c:pt idx="610">
                  <c:v>0.41160754798490706</c:v>
                </c:pt>
                <c:pt idx="611">
                  <c:v>-16.998840061212668</c:v>
                </c:pt>
                <c:pt idx="612">
                  <c:v>24.676601290240594</c:v>
                </c:pt>
                <c:pt idx="613">
                  <c:v>-19.393936800563505</c:v>
                </c:pt>
                <c:pt idx="614">
                  <c:v>3.906881951464241</c:v>
                </c:pt>
                <c:pt idx="615">
                  <c:v>13.659336924203489</c:v>
                </c:pt>
                <c:pt idx="616">
                  <c:v>-24.073185069108678</c:v>
                </c:pt>
                <c:pt idx="617">
                  <c:v>21.848266804937733</c:v>
                </c:pt>
                <c:pt idx="618">
                  <c:v>-8.1337467052453096</c:v>
                </c:pt>
                <c:pt idx="619">
                  <c:v>-9.8790218094482398</c:v>
                </c:pt>
                <c:pt idx="620">
                  <c:v>22.727363254565102</c:v>
                </c:pt>
                <c:pt idx="621">
                  <c:v>-23.648343446146999</c:v>
                </c:pt>
                <c:pt idx="622">
                  <c:v>12.138550529342625</c:v>
                </c:pt>
                <c:pt idx="623">
                  <c:v>5.7711553709106598</c:v>
                </c:pt>
                <c:pt idx="624">
                  <c:v>-20.675664547129621</c:v>
                </c:pt>
                <c:pt idx="625">
                  <c:v>24.734641279950367</c:v>
                </c:pt>
                <c:pt idx="626">
                  <c:v>-15.796846109452053</c:v>
                </c:pt>
                <c:pt idx="627">
                  <c:v>-1.4598022050049166</c:v>
                </c:pt>
                <c:pt idx="628">
                  <c:v>17.9765630539409</c:v>
                </c:pt>
                <c:pt idx="629">
                  <c:v>-25.069206012678677</c:v>
                </c:pt>
                <c:pt idx="630">
                  <c:v>18.994045753671358</c:v>
                </c:pt>
                <c:pt idx="631">
                  <c:v>-2.923920982145078</c:v>
                </c:pt>
                <c:pt idx="632">
                  <c:v>-14.708817173142549</c:v>
                </c:pt>
                <c:pt idx="633">
                  <c:v>24.636960294425624</c:v>
                </c:pt>
                <c:pt idx="634">
                  <c:v>-21.629012519096889</c:v>
                </c:pt>
                <c:pt idx="635">
                  <c:v>7.2458382343105381</c:v>
                </c:pt>
                <c:pt idx="636">
                  <c:v>10.969172648309591</c:v>
                </c:pt>
                <c:pt idx="637">
                  <c:v>-23.446312379073881</c:v>
                </c:pt>
                <c:pt idx="638">
                  <c:v>23.617259126893796</c:v>
                </c:pt>
                <c:pt idx="639">
                  <c:v>-11.372826475520265</c:v>
                </c:pt>
                <c:pt idx="640">
                  <c:v>-6.8694967606061805</c:v>
                </c:pt>
                <c:pt idx="641">
                  <c:v>21.529044561195942</c:v>
                </c:pt>
                <c:pt idx="642">
                  <c:v>-24.893653514895941</c:v>
                </c:pt>
                <c:pt idx="643">
                  <c:v>15.176920728721157</c:v>
                </c:pt>
                <c:pt idx="644">
                  <c:v>2.5334286102832064</c:v>
                </c:pt>
                <c:pt idx="645">
                  <c:v>-18.93948041321466</c:v>
                </c:pt>
                <c:pt idx="646">
                  <c:v>25.414544507277665</c:v>
                </c:pt>
                <c:pt idx="647">
                  <c:v>-18.539285690885482</c:v>
                </c:pt>
                <c:pt idx="648">
                  <c:v>1.9073540972686731</c:v>
                </c:pt>
                <c:pt idx="649">
                  <c:v>15.752952121504764</c:v>
                </c:pt>
                <c:pt idx="650">
                  <c:v>-25.15923847484569</c:v>
                </c:pt>
                <c:pt idx="651">
                  <c:v>21.353930299415993</c:v>
                </c:pt>
                <c:pt idx="652">
                  <c:v>-6.3171388958760799</c:v>
                </c:pt>
                <c:pt idx="653">
                  <c:v>-12.063610968104948</c:v>
                </c:pt>
                <c:pt idx="654">
                  <c:v>24.130777493229857</c:v>
                </c:pt>
                <c:pt idx="655">
                  <c:v>-23.5310491258805</c:v>
                </c:pt>
                <c:pt idx="656">
                  <c:v>10.560331135594032</c:v>
                </c:pt>
                <c:pt idx="657">
                  <c:v>7.9816445498679895</c:v>
                </c:pt>
                <c:pt idx="658">
                  <c:v>-22.355990785896243</c:v>
                </c:pt>
                <c:pt idx="659">
                  <c:v>24.99988526803623</c:v>
                </c:pt>
                <c:pt idx="660">
                  <c:v>-14.505628077038175</c:v>
                </c:pt>
                <c:pt idx="661">
                  <c:v>-3.6299830260467516</c:v>
                </c:pt>
                <c:pt idx="662">
                  <c:v>19.884813514938678</c:v>
                </c:pt>
                <c:pt idx="663">
                  <c:v>-25.711023565714914</c:v>
                </c:pt>
                <c:pt idx="664">
                  <c:v>18.030085872556985</c:v>
                </c:pt>
                <c:pt idx="665">
                  <c:v>-0.85940705071889867</c:v>
                </c:pt>
                <c:pt idx="666">
                  <c:v>-16.78888957156763</c:v>
                </c:pt>
                <c:pt idx="667">
                  <c:v>25.638040020863219</c:v>
                </c:pt>
                <c:pt idx="668">
                  <c:v>-21.022953355861997</c:v>
                </c:pt>
                <c:pt idx="669">
                  <c:v>5.3495294531951325</c:v>
                </c:pt>
                <c:pt idx="670">
                  <c:v>13.159497222918768</c:v>
                </c:pt>
                <c:pt idx="671">
                  <c:v>-24.778452746253276</c:v>
                </c:pt>
                <c:pt idx="672">
                  <c:v>23.389153025628282</c:v>
                </c:pt>
                <c:pt idx="673">
                  <c:v>-9.7025437500334135</c:v>
                </c:pt>
                <c:pt idx="674">
                  <c:v>-9.1048576033583668</c:v>
                </c:pt>
                <c:pt idx="675">
                  <c:v>23.153941012565731</c:v>
                </c:pt>
                <c:pt idx="676">
                  <c:v>-25.05229980550628</c:v>
                </c:pt>
                <c:pt idx="677">
                  <c:v>13.784001505526716</c:v>
                </c:pt>
                <c:pt idx="678">
                  <c:v>4.746905437184032</c:v>
                </c:pt>
                <c:pt idx="679">
                  <c:v>-20.809821363262817</c:v>
                </c:pt>
                <c:pt idx="680">
                  <c:v>25.95716179931636</c:v>
                </c:pt>
                <c:pt idx="681">
                  <c:v>-17.467002882589153</c:v>
                </c:pt>
                <c:pt idx="682">
                  <c:v>-0.21761843534097508</c:v>
                </c:pt>
                <c:pt idx="683">
                  <c:v>17.81379263418102</c:v>
                </c:pt>
                <c:pt idx="684">
                  <c:v>-26.071483932776758</c:v>
                </c:pt>
                <c:pt idx="685">
                  <c:v>20.636145031954605</c:v>
                </c:pt>
                <c:pt idx="686">
                  <c:v>-4.3449840180012274</c:v>
                </c:pt>
                <c:pt idx="687">
                  <c:v>-14.253984345879633</c:v>
                </c:pt>
                <c:pt idx="688">
                  <c:v>25.387114583790687</c:v>
                </c:pt>
                <c:pt idx="689">
                  <c:v>-23.191139342819</c:v>
                </c:pt>
                <c:pt idx="690">
                  <c:v>8.8010514374909992</c:v>
                </c:pt>
                <c:pt idx="691">
                  <c:v>10.236364630133099</c:v>
                </c:pt>
                <c:pt idx="692">
                  <c:v>-23.920396471901714</c:v>
                </c:pt>
                <c:pt idx="693">
                  <c:v>25.049984151372236</c:v>
                </c:pt>
                <c:pt idx="694">
                  <c:v>-13.013193470792958</c:v>
                </c:pt>
                <c:pt idx="695">
                  <c:v>-5.8815839321813321</c:v>
                </c:pt>
                <c:pt idx="696">
                  <c:v>21.711805560342953</c:v>
                </c:pt>
                <c:pt idx="697">
                  <c:v>-26.151592579858352</c:v>
                </c:pt>
                <c:pt idx="698">
                  <c:v>16.850719985323011</c:v>
                </c:pt>
                <c:pt idx="699">
                  <c:v>1.3213485672930076</c:v>
                </c:pt>
                <c:pt idx="700">
                  <c:v>-18.824844833548806</c:v>
                </c:pt>
                <c:pt idx="701">
                  <c:v>26.457791426181714</c:v>
                </c:pt>
                <c:pt idx="702">
                  <c:v>-20.193699036847509</c:v>
                </c:pt>
                <c:pt idx="703">
                  <c:v>3.3055667588961462</c:v>
                </c:pt>
                <c:pt idx="704">
                  <c:v>15.344222838260299</c:v>
                </c:pt>
                <c:pt idx="705">
                  <c:v>-25.954625957234999</c:v>
                </c:pt>
                <c:pt idx="706">
                  <c:v>22.936706637817025</c:v>
                </c:pt>
                <c:pt idx="707">
                  <c:v>-7.8575466128165754</c:v>
                </c:pt>
                <c:pt idx="708">
                  <c:v>-11.373369105009157</c:v>
                </c:pt>
                <c:pt idx="709">
                  <c:v>24.652926507463413</c:v>
                </c:pt>
                <c:pt idx="710">
                  <c:v>-24.992151050390913</c:v>
                </c:pt>
                <c:pt idx="711">
                  <c:v>12.194473746911209</c:v>
                </c:pt>
                <c:pt idx="712">
                  <c:v>7.0313593081758379</c:v>
                </c:pt>
                <c:pt idx="713">
                  <c:v>-22.588115308967321</c:v>
                </c:pt>
                <c:pt idx="714">
                  <c:v>26.293066805150982</c:v>
                </c:pt>
                <c:pt idx="715">
                  <c:v>-16.182046192498021</c:v>
                </c:pt>
                <c:pt idx="716">
                  <c:v>-2.4493416282069718</c:v>
                </c:pt>
                <c:pt idx="717">
                  <c:v>19.81925529245903</c:v>
                </c:pt>
                <c:pt idx="718">
                  <c:v>-26.79528942522694</c:v>
                </c:pt>
                <c:pt idx="719">
                  <c:v>19.695939403282313</c:v>
                </c:pt>
                <c:pt idx="720">
                  <c:v>-2.2334283386654357</c:v>
                </c:pt>
                <c:pt idx="721">
                  <c:v>-16.42736598368764</c:v>
                </c:pt>
                <c:pt idx="722">
                  <c:v>26.478940446662289</c:v>
                </c:pt>
                <c:pt idx="723">
                  <c:v>-22.625684372911163</c:v>
                </c:pt>
                <c:pt idx="724">
                  <c:v>6.8738241219267637</c:v>
                </c:pt>
                <c:pt idx="725">
                  <c:v>12.513054355721151</c:v>
                </c:pt>
                <c:pt idx="726">
                  <c:v>-25.349173210245343</c:v>
                </c:pt>
                <c:pt idx="727">
                  <c:v>24.87814070862342</c:v>
                </c:pt>
                <c:pt idx="728">
                  <c:v>-11.32922734964108</c:v>
                </c:pt>
                <c:pt idx="729">
                  <c:v>-8.193529877508082</c:v>
                </c:pt>
                <c:pt idx="730">
                  <c:v>23.436152424110556</c:v>
                </c:pt>
                <c:pt idx="731">
                  <c:v>-26.380455477369726</c:v>
                </c:pt>
                <c:pt idx="732">
                  <c:v>15.461915046115216</c:v>
                </c:pt>
                <c:pt idx="733">
                  <c:v>3.5990923568220823</c:v>
                </c:pt>
                <c:pt idx="734">
                  <c:v>-20.79426397340421</c:v>
                </c:pt>
                <c:pt idx="735">
                  <c:v>27.082413908141373</c:v>
                </c:pt>
                <c:pt idx="736">
                  <c:v>-19.143320172505312</c:v>
                </c:pt>
                <c:pt idx="737">
                  <c:v>1.1308020978063809</c:v>
                </c:pt>
                <c:pt idx="738">
                  <c:v>17.500575163223228</c:v>
                </c:pt>
                <c:pt idx="739">
                  <c:v>-26.958106279147106</c:v>
                </c:pt>
                <c:pt idx="740">
                  <c:v>22.25803351590481</c:v>
                </c:pt>
                <c:pt idx="741">
                  <c:v>-5.8517781068758445</c:v>
                </c:pt>
                <c:pt idx="742">
                  <c:v>-13.65258879284953</c:v>
                </c:pt>
                <c:pt idx="743">
                  <c:v>26.00685599410712</c:v>
                </c:pt>
                <c:pt idx="744">
                  <c:v>-24.707422304724702</c:v>
                </c:pt>
                <c:pt idx="745">
                  <c:v>10.418952182899295</c:v>
                </c:pt>
                <c:pt idx="746">
                  <c:v>9.3653564540556005</c:v>
                </c:pt>
                <c:pt idx="747">
                  <c:v>-24.253376331857819</c:v>
                </c:pt>
                <c:pt idx="748">
                  <c:v>26.412752083286357</c:v>
                </c:pt>
                <c:pt idx="749">
                  <c:v>-14.691383122567336</c:v>
                </c:pt>
                <c:pt idx="750">
                  <c:v>-4.7680365386500787</c:v>
                </c:pt>
                <c:pt idx="751">
                  <c:v>21.747146953624888</c:v>
                </c:pt>
                <c:pt idx="752">
                  <c:v>-27.31771309094605</c:v>
                </c:pt>
                <c:pt idx="753">
                  <c:v>18.536424807557051</c:v>
                </c:pt>
                <c:pt idx="754">
                  <c:v>-2.6158167242830138E-11</c:v>
                </c:pt>
                <c:pt idx="755">
                  <c:v>-18.561025249408573</c:v>
                </c:pt>
                <c:pt idx="756">
                  <c:v>27.390270225619439</c:v>
                </c:pt>
                <c:pt idx="757">
                  <c:v>-21.833846886663547</c:v>
                </c:pt>
                <c:pt idx="758">
                  <c:v>4.7933986141161444</c:v>
                </c:pt>
                <c:pt idx="759">
                  <c:v>14.789131260737616</c:v>
                </c:pt>
                <c:pt idx="760">
                  <c:v>-26.623776093118032</c:v>
                </c:pt>
                <c:pt idx="761">
                  <c:v>24.479595265545143</c:v>
                </c:pt>
                <c:pt idx="762">
                  <c:v>-9.4652564162304014</c:v>
                </c:pt>
                <c:pt idx="763">
                  <c:v>-10.544067499684566</c:v>
                </c:pt>
                <c:pt idx="764">
                  <c:v>25.037309035566512</c:v>
                </c:pt>
                <c:pt idx="765">
                  <c:v>-26.389074766501007</c:v>
                </c:pt>
                <c:pt idx="766">
                  <c:v>13.871628263877101</c:v>
                </c:pt>
                <c:pt idx="767">
                  <c:v>5.9535557909478696</c:v>
                </c:pt>
                <c:pt idx="768">
                  <c:v>-22.67522171300191</c:v>
                </c:pt>
                <c:pt idx="769">
                  <c:v>27.499850436490409</c:v>
                </c:pt>
                <c:pt idx="770">
                  <c:v>-17.875965336931589</c:v>
                </c:pt>
                <c:pt idx="771">
                  <c:v>-1.1565916446214706</c:v>
                </c:pt>
                <c:pt idx="772">
                  <c:v>19.605910058172729</c:v>
                </c:pt>
                <c:pt idx="773">
                  <c:v>-27.773681360957731</c:v>
                </c:pt>
                <c:pt idx="774">
                  <c:v>21.353349244614908</c:v>
                </c:pt>
                <c:pt idx="775">
                  <c:v>-3.7007679579632642</c:v>
                </c:pt>
                <c:pt idx="776">
                  <c:v>-15.919836489841654</c:v>
                </c:pt>
                <c:pt idx="777">
                  <c:v>27.197820963573061</c:v>
                </c:pt>
                <c:pt idx="778">
                  <c:v>-24.194390300453932</c:v>
                </c:pt>
                <c:pt idx="779">
                  <c:v>8.4698556026347926</c:v>
                </c:pt>
                <c:pt idx="780">
                  <c:v>11.726864411871862</c:v>
                </c:pt>
                <c:pt idx="781">
                  <c:v>-25.785540030375575</c:v>
                </c:pt>
                <c:pt idx="782">
                  <c:v>26.308668282901372</c:v>
                </c:pt>
                <c:pt idx="783">
                  <c:v>-13.00394754124652</c:v>
                </c:pt>
                <c:pt idx="784">
                  <c:v>-7.1529825249611356</c:v>
                </c:pt>
                <c:pt idx="785">
                  <c:v>23.575852415413404</c:v>
                </c:pt>
                <c:pt idx="786">
                  <c:v>-27.627607477054347</c:v>
                </c:pt>
                <c:pt idx="787">
                  <c:v>17.162781230205677</c:v>
                </c:pt>
                <c:pt idx="788">
                  <c:v>2.336516664590186</c:v>
                </c:pt>
                <c:pt idx="789">
                  <c:v>-20.632447839321816</c:v>
                </c:pt>
                <c:pt idx="790">
                  <c:v>28.1066946731165</c:v>
                </c:pt>
                <c:pt idx="791">
                  <c:v>-20.816897115505558</c:v>
                </c:pt>
                <c:pt idx="792">
                  <c:v>2.5760568515661575</c:v>
                </c:pt>
                <c:pt idx="793">
                  <c:v>17.041860631176053</c:v>
                </c:pt>
                <c:pt idx="794">
                  <c:v>-27.726968574574762</c:v>
                </c:pt>
                <c:pt idx="795">
                  <c:v>23.851670189595936</c:v>
                </c:pt>
                <c:pt idx="796">
                  <c:v>-7.4345695456385981</c:v>
                </c:pt>
                <c:pt idx="797">
                  <c:v>-12.910926934898653</c:v>
                </c:pt>
                <c:pt idx="798">
                  <c:v>26.495731148895292</c:v>
                </c:pt>
                <c:pt idx="799">
                  <c:v>-26.170905731372311</c:v>
                </c:pt>
                <c:pt idx="800">
                  <c:v>12.089754956770999</c:v>
                </c:pt>
                <c:pt idx="801">
                  <c:v>8.3636050692400108</c:v>
                </c:pt>
                <c:pt idx="802">
                  <c:v>-24.446455165533262</c:v>
                </c:pt>
                <c:pt idx="803">
                  <c:v>27.699886439843517</c:v>
                </c:pt>
                <c:pt idx="804">
                  <c:v>-16.397838008280633</c:v>
                </c:pt>
                <c:pt idx="805">
                  <c:v>-3.5372537055783906</c:v>
                </c:pt>
                <c:pt idx="806">
                  <c:v>21.637886787062978</c:v>
                </c:pt>
                <c:pt idx="807">
                  <c:v>-28.387774508194788</c:v>
                </c:pt>
                <c:pt idx="808">
                  <c:v>20.224978356730198</c:v>
                </c:pt>
                <c:pt idx="809">
                  <c:v>-1.4215203166732429</c:v>
                </c:pt>
                <c:pt idx="810">
                  <c:v>-18.15236685483676</c:v>
                </c:pt>
                <c:pt idx="811">
                  <c:v>28.209291572158342</c:v>
                </c:pt>
                <c:pt idx="812">
                  <c:v>-23.451430321836281</c:v>
                </c:pt>
                <c:pt idx="813">
                  <c:v>6.3613189241069632</c:v>
                </c:pt>
                <c:pt idx="814">
                  <c:v>14.093418677134215</c:v>
                </c:pt>
                <c:pt idx="815">
                  <c:v>-27.165621321516404</c:v>
                </c:pt>
                <c:pt idx="816">
                  <c:v>25.97529005266102</c:v>
                </c:pt>
                <c:pt idx="817">
                  <c:v>-11.130578889178574</c:v>
                </c:pt>
                <c:pt idx="818">
                  <c:v>-9.5826729379697486</c:v>
                </c:pt>
                <c:pt idx="819">
                  <c:v>25.284503223617737</c:v>
                </c:pt>
                <c:pt idx="820">
                  <c:v>-27.715712665603874</c:v>
                </c:pt>
                <c:pt idx="821">
                  <c:v>15.582225591013467</c:v>
                </c:pt>
                <c:pt idx="822">
                  <c:v>4.7562210891555248</c:v>
                </c:pt>
                <c:pt idx="823">
                  <c:v>-22.619510553267922</c:v>
                </c:pt>
                <c:pt idx="824">
                  <c:v>28.615497839416882</c:v>
                </c:pt>
                <c:pt idx="825">
                  <c:v>-19.578211460704324</c:v>
                </c:pt>
                <c:pt idx="826">
                  <c:v>0.23949338362742917</c:v>
                </c:pt>
                <c:pt idx="827">
                  <c:v>19.248530995730697</c:v>
                </c:pt>
                <c:pt idx="828">
                  <c:v>-28.642961303100773</c:v>
                </c:pt>
                <c:pt idx="829">
                  <c:v>22.993798979257026</c:v>
                </c:pt>
                <c:pt idx="830">
                  <c:v>-5.2521216840807146</c:v>
                </c:pt>
                <c:pt idx="831">
                  <c:v>-15.271492718290638</c:v>
                </c:pt>
                <c:pt idx="832">
                  <c:v>27.793031236000505</c:v>
                </c:pt>
                <c:pt idx="833">
                  <c:v>-25.721455290238008</c:v>
                </c:pt>
                <c:pt idx="834">
                  <c:v>10.128059289439459</c:v>
                </c:pt>
                <c:pt idx="835">
                  <c:v>10.807402229733055</c:v>
                </c:pt>
                <c:pt idx="836">
                  <c:v>-26.087532162163203</c:v>
                </c:pt>
                <c:pt idx="837">
                  <c:v>27.67423681145322</c:v>
                </c:pt>
                <c:pt idx="838">
                  <c:v>-14.717156385023138</c:v>
                </c:pt>
                <c:pt idx="839">
                  <c:v>-5.9907818382608431</c:v>
                </c:pt>
                <c:pt idx="840">
                  <c:v>23.574643746507796</c:v>
                </c:pt>
                <c:pt idx="841">
                  <c:v>-28.788557348847341</c:v>
                </c:pt>
                <c:pt idx="842">
                  <c:v>18.877344596591101</c:v>
                </c:pt>
                <c:pt idx="843">
                  <c:v>0.967613406598684</c:v>
                </c:pt>
                <c:pt idx="844">
                  <c:v>-20.327547229405859</c:v>
                </c:pt>
                <c:pt idx="845">
                  <c:v>29.02625168528655</c:v>
                </c:pt>
                <c:pt idx="846">
                  <c:v>-22.479037365172296</c:v>
                </c:pt>
                <c:pt idx="847">
                  <c:v>4.1090892063505056</c:v>
                </c:pt>
                <c:pt idx="848">
                  <c:v>16.442297290743308</c:v>
                </c:pt>
                <c:pt idx="849">
                  <c:v>-28.375867881985677</c:v>
                </c:pt>
                <c:pt idx="850">
                  <c:v>25.409167607504813</c:v>
                </c:pt>
                <c:pt idx="851">
                  <c:v>-9.0839446329906295</c:v>
                </c:pt>
                <c:pt idx="852">
                  <c:v>-12.034981141484552</c:v>
                </c:pt>
                <c:pt idx="853">
                  <c:v>26.853144948880292</c:v>
                </c:pt>
                <c:pt idx="854">
                  <c:v>-27.57473683001556</c:v>
                </c:pt>
                <c:pt idx="855">
                  <c:v>13.803963115827926</c:v>
                </c:pt>
                <c:pt idx="856">
                  <c:v>7.2382488558692568</c:v>
                </c:pt>
                <c:pt idx="857">
                  <c:v>-24.500657401158101</c:v>
                </c:pt>
                <c:pt idx="858">
                  <c:v>28.905764311599373</c:v>
                </c:pt>
                <c:pt idx="859">
                  <c:v>-18.123254390930036</c:v>
                </c:pt>
                <c:pt idx="860">
                  <c:v>-2.1973186875999402</c:v>
                </c:pt>
                <c:pt idx="861">
                  <c:v>21.386633762595942</c:v>
                </c:pt>
                <c:pt idx="862">
                  <c:v>-29.357542912514912</c:v>
                </c:pt>
                <c:pt idx="863">
                  <c:v>21.907539373835107</c:v>
                </c:pt>
                <c:pt idx="864">
                  <c:v>-2.9344222590581182</c:v>
                </c:pt>
                <c:pt idx="865">
                  <c:v>-17.602981519086555</c:v>
                </c:pt>
                <c:pt idx="866">
                  <c:v>28.91212896659092</c:v>
                </c:pt>
                <c:pt idx="867">
                  <c:v>-25.038326056789089</c:v>
                </c:pt>
                <c:pt idx="868">
                  <c:v>8.0000886349053619</c:v>
                </c:pt>
                <c:pt idx="869">
                  <c:v>13.26257558325573</c:v>
                </c:pt>
                <c:pt idx="870">
                  <c:v>-27.579016941393938</c:v>
                </c:pt>
                <c:pt idx="871">
                  <c:v>27.416619717488601</c:v>
                </c:pt>
                <c:pt idx="872">
                  <c:v>-12.84409640775292</c:v>
                </c:pt>
                <c:pt idx="873">
                  <c:v>-8.4958902439874535</c:v>
                </c:pt>
                <c:pt idx="874">
                  <c:v>25.394974401256622</c:v>
                </c:pt>
                <c:pt idx="875">
                  <c:v>-28.966051273035301</c:v>
                </c:pt>
                <c:pt idx="876">
                  <c:v>17.316944448806669</c:v>
                </c:pt>
                <c:pt idx="877">
                  <c:v>3.4470751281722887</c:v>
                </c:pt>
                <c:pt idx="878">
                  <c:v>-22.423038522707724</c:v>
                </c:pt>
                <c:pt idx="879">
                  <c:v>29.635324982354973</c:v>
                </c:pt>
                <c:pt idx="880">
                  <c:v>-21.279831100476095</c:v>
                </c:pt>
                <c:pt idx="881">
                  <c:v>1.7304067443268323</c:v>
                </c:pt>
                <c:pt idx="882">
                  <c:v>18.75070120340639</c:v>
                </c:pt>
                <c:pt idx="883">
                  <c:v>-29.399907188301253</c:v>
                </c:pt>
                <c:pt idx="884">
                  <c:v>24.608963096012957</c:v>
                </c:pt>
                <c:pt idx="885">
                  <c:v>-6.8784467349409573</c:v>
                </c:pt>
                <c:pt idx="886">
                  <c:v>-14.487334879684203</c:v>
                </c:pt>
                <c:pt idx="887">
                  <c:v>28.262900779443513</c:v>
                </c:pt>
                <c:pt idx="888">
                  <c:v>-27.199423024276104</c:v>
                </c:pt>
                <c:pt idx="889">
                  <c:v>11.839122116445239</c:v>
                </c:pt>
                <c:pt idx="890">
                  <c:v>9.7609347497831926</c:v>
                </c:pt>
                <c:pt idx="891">
                  <c:v>-26.255074844153146</c:v>
                </c:pt>
                <c:pt idx="892">
                  <c:v>28.968474510308969</c:v>
                </c:pt>
                <c:pt idx="893">
                  <c:v>-16.459543617177477</c:v>
                </c:pt>
                <c:pt idx="894">
                  <c:v>-4.7142744569608537</c:v>
                </c:pt>
                <c:pt idx="895">
                  <c:v>23.434044831341676</c:v>
                </c:pt>
                <c:pt idx="896">
                  <c:v>-29.858201036437713</c:v>
                </c:pt>
                <c:pt idx="897">
                  <c:v>20.596570090684086</c:v>
                </c:pt>
                <c:pt idx="898">
                  <c:v>-0.49940924885192722</c:v>
                </c:pt>
                <c:pt idx="899">
                  <c:v>-19.882624631178047</c:v>
                </c:pt>
                <c:pt idx="900">
                  <c:v>29.837394356916104</c:v>
                </c:pt>
                <c:pt idx="901">
                  <c:v>-24.121244849819615</c:v>
                </c:pt>
                <c:pt idx="902">
                  <c:v>5.7210723602019007</c:v>
                </c:pt>
                <c:pt idx="903">
                  <c:v>15.706397543915475</c:v>
                </c:pt>
                <c:pt idx="904">
                  <c:v>-28.902631161358837</c:v>
                </c:pt>
                <c:pt idx="905">
                  <c:v>26.922816122498975</c:v>
                </c:pt>
                <c:pt idx="906">
                  <c:v>-10.790718418931352</c:v>
                </c:pt>
                <c:pt idx="907">
                  <c:v>-11.030577326178539</c:v>
                </c:pt>
                <c:pt idx="908">
                  <c:v>27.078501330144018</c:v>
                </c:pt>
                <c:pt idx="909">
                  <c:v>-28.912216270279441</c:v>
                </c:pt>
                <c:pt idx="910">
                  <c:v>15.552303992733481</c:v>
                </c:pt>
                <c:pt idx="911">
                  <c:v>5.9962526401013765</c:v>
                </c:pt>
                <c:pt idx="912">
                  <c:v>-24.416977047594131</c:v>
                </c:pt>
                <c:pt idx="913">
                  <c:v>30.02489050328057</c:v>
                </c:pt>
                <c:pt idx="914">
                  <c:v>-19.858544329301143</c:v>
                </c:pt>
                <c:pt idx="915">
                  <c:v>-0.75612759221219406</c:v>
                </c:pt>
                <c:pt idx="916">
                  <c:v>20.995938403406978</c:v>
                </c:pt>
                <c:pt idx="917">
                  <c:v>-30.222885347997568</c:v>
                </c:pt>
                <c:pt idx="918">
                  <c:v>23.575471112376068</c:v>
                </c:pt>
                <c:pt idx="919">
                  <c:v>-4.530112972445151</c:v>
                </c:pt>
                <c:pt idx="920">
                  <c:v>-16.916897110285824</c:v>
                </c:pt>
                <c:pt idx="921">
                  <c:v>29.496129491996172</c:v>
                </c:pt>
                <c:pt idx="922">
                  <c:v>-26.586601225177784</c:v>
                </c:pt>
                <c:pt idx="923">
                  <c:v>9.7006726662418252</c:v>
                </c:pt>
                <c:pt idx="924">
                  <c:v>12.301984793559217</c:v>
                </c:pt>
                <c:pt idx="925">
                  <c:v>-27.862864164177605</c:v>
                </c:pt>
                <c:pt idx="926">
                  <c:v>28.79658677659982</c:v>
                </c:pt>
                <c:pt idx="927">
                  <c:v>-14.596598677669363</c:v>
                </c:pt>
                <c:pt idx="928">
                  <c:v>-7.290295199536839</c:v>
                </c:pt>
                <c:pt idx="929">
                  <c:v>25.369206166734628</c:v>
                </c:pt>
                <c:pt idx="930">
                  <c:v>-30.134232034455685</c:v>
                </c:pt>
                <c:pt idx="931">
                  <c:v>19.066670969148838</c:v>
                </c:pt>
                <c:pt idx="932">
                  <c:v>2.0336899081696127</c:v>
                </c:pt>
                <c:pt idx="933">
                  <c:v>-22.087853261260435</c:v>
                </c:pt>
                <c:pt idx="934">
                  <c:v>30.554781881004843</c:v>
                </c:pt>
                <c:pt idx="935">
                  <c:v>-22.972075090157841</c:v>
                </c:pt>
                <c:pt idx="936">
                  <c:v>3.3078059084400753</c:v>
                </c:pt>
                <c:pt idx="937">
                  <c:v>18.115968011919673</c:v>
                </c:pt>
                <c:pt idx="938">
                  <c:v>-30.04140838978682</c:v>
                </c:pt>
                <c:pt idx="939">
                  <c:v>26.190714153064892</c:v>
                </c:pt>
                <c:pt idx="940">
                  <c:v>-8.57087800483745</c:v>
                </c:pt>
                <c:pt idx="941">
                  <c:v>-13.572301590077979</c:v>
                </c:pt>
                <c:pt idx="942">
                  <c:v>28.605846456498611</c:v>
                </c:pt>
                <c:pt idx="943">
                  <c:v>-28.621025999361127</c:v>
                </c:pt>
                <c:pt idx="944">
                  <c:v>13.593919286246209</c:v>
                </c:pt>
                <c:pt idx="945">
                  <c:v>8.5936426610572241</c:v>
                </c:pt>
                <c:pt idx="946">
                  <c:v>-26.288155360743627</c:v>
                </c:pt>
                <c:pt idx="947">
                  <c:v>30.185186225526895</c:v>
                </c:pt>
                <c:pt idx="948">
                  <c:v>-18.221994800830664</c:v>
                </c:pt>
                <c:pt idx="949">
                  <c:v>-3.330697571870866</c:v>
                </c:pt>
                <c:pt idx="950">
                  <c:v>23.155609898781687</c:v>
                </c:pt>
                <c:pt idx="951">
                  <c:v>-30.831596110786009</c:v>
                </c:pt>
                <c:pt idx="952">
                  <c:v>22.311622883216582</c:v>
                </c:pt>
                <c:pt idx="953">
                  <c:v>-2.0564740217124085</c:v>
                </c:pt>
                <c:pt idx="954">
                  <c:v>-19.300751489936165</c:v>
                </c:pt>
                <c:pt idx="955">
                  <c:v>30.536576041450189</c:v>
                </c:pt>
                <c:pt idx="956">
                  <c:v>-25.735224845170887</c:v>
                </c:pt>
                <c:pt idx="957">
                  <c:v>7.4033297728360123</c:v>
                </c:pt>
                <c:pt idx="958">
                  <c:v>14.838655597692243</c:v>
                </c:pt>
                <c:pt idx="959">
                  <c:v>-29.305209109692456</c:v>
                </c:pt>
                <c:pt idx="960">
                  <c:v>28.385105181564764</c:v>
                </c:pt>
                <c:pt idx="961">
                  <c:v>-12.545873206813033</c:v>
                </c:pt>
                <c:pt idx="962">
                  <c:v>-9.9034961197964329</c:v>
                </c:pt>
                <c:pt idx="963">
                  <c:v>27.171305447249352</c:v>
                </c:pt>
                <c:pt idx="964">
                  <c:v>-30.176838113941255</c:v>
                </c:pt>
                <c:pt idx="965">
                  <c:v>17.32568646508037</c:v>
                </c:pt>
                <c:pt idx="966">
                  <c:v>4.644509335344293</c:v>
                </c:pt>
                <c:pt idx="967">
                  <c:v>-24.196484748655799</c:v>
                </c:pt>
                <c:pt idx="968">
                  <c:v>31.051954022812744</c:v>
                </c:pt>
                <c:pt idx="969">
                  <c:v>-21.594812704228893</c:v>
                </c:pt>
                <c:pt idx="970">
                  <c:v>0.77852113395209332</c:v>
                </c:pt>
                <c:pt idx="971">
                  <c:v>20.468401520452197</c:v>
                </c:pt>
                <c:pt idx="972">
                  <c:v>-30.979840393048541</c:v>
                </c:pt>
                <c:pt idx="973">
                  <c:v>25.220337610195568</c:v>
                </c:pt>
                <c:pt idx="974">
                  <c:v>-6.2001216779252131</c:v>
                </c:pt>
                <c:pt idx="975">
                  <c:v>-16.098164030654299</c:v>
                </c:pt>
                <c:pt idx="976">
                  <c:v>29.958795679684091</c:v>
                </c:pt>
                <c:pt idx="977">
                  <c:v>-28.088528117085801</c:v>
                </c:pt>
                <c:pt idx="978">
                  <c:v>11.454180623447343</c:v>
                </c:pt>
                <c:pt idx="979">
                  <c:v>11.217022911293284</c:v>
                </c:pt>
                <c:pt idx="980">
                  <c:v>-28.016200274036457</c:v>
                </c:pt>
                <c:pt idx="981">
                  <c:v>30.108399446535156</c:v>
                </c:pt>
                <c:pt idx="982">
                  <c:v>-16.379040410312783</c:v>
                </c:pt>
                <c:pt idx="983">
                  <c:v>-5.9724281106056898</c:v>
                </c:pt>
                <c:pt idx="984">
                  <c:v>25.207795727328016</c:v>
                </c:pt>
                <c:pt idx="985">
                  <c:v>-31.214598623088296</c:v>
                </c:pt>
                <c:pt idx="986">
                  <c:v>20.82247383562391</c:v>
                </c:pt>
                <c:pt idx="987">
                  <c:v>0.52357269444977483</c:v>
                </c:pt>
                <c:pt idx="988">
                  <c:v>-21.616090746417488</c:v>
                </c:pt>
                <c:pt idx="989">
                  <c:v>31.369513166923536</c:v>
                </c:pt>
                <c:pt idx="990">
                  <c:v>-24.646391116559062</c:v>
                </c:pt>
                <c:pt idx="991">
                  <c:v>4.9634417637981896</c:v>
                </c:pt>
                <c:pt idx="992">
                  <c:v>17.347939374215361</c:v>
                </c:pt>
                <c:pt idx="993">
                  <c:v>-30.564537099025955</c:v>
                </c:pt>
                <c:pt idx="994">
                  <c:v>27.73113217564806</c:v>
                </c:pt>
                <c:pt idx="995">
                  <c:v>-10.32067130225647</c:v>
                </c:pt>
                <c:pt idx="996">
                  <c:v>-12.531362376479608</c:v>
                </c:pt>
                <c:pt idx="997">
                  <c:v>28.820452006241588</c:v>
                </c:pt>
                <c:pt idx="998">
                  <c:v>-29.979210710114348</c:v>
                </c:pt>
                <c:pt idx="999">
                  <c:v>15.383472597945511</c:v>
                </c:pt>
                <c:pt idx="1000">
                  <c:v>7.3117063853000444</c:v>
                </c:pt>
                <c:pt idx="1001">
                  <c:v>30.765873134613987</c:v>
                </c:pt>
                <c:pt idx="1002">
                  <c:v>30.765873134613987</c:v>
                </c:pt>
                <c:pt idx="1003">
                  <c:v>-30.765873134613987</c:v>
                </c:pt>
                <c:pt idx="1004">
                  <c:v>-30.765873134613987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09-4F64-92D9-2B27AC7F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578632"/>
        <c:axId val="911573384"/>
      </c:scatterChart>
      <c:valAx>
        <c:axId val="911578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1573384"/>
        <c:crosses val="autoZero"/>
        <c:crossBetween val="midCat"/>
      </c:valAx>
      <c:valAx>
        <c:axId val="911573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157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変動係数（花びらのばらつき）</a:t>
            </a:r>
          </a:p>
        </c:rich>
      </c:tx>
      <c:layout>
        <c:manualLayout>
          <c:xMode val="edge"/>
          <c:yMode val="edge"/>
          <c:x val="0.26205659625348743"/>
          <c:y val="2.4443237370994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花びらのバランスに関する分析!$K$14</c:f>
              <c:strCache>
                <c:ptCount val="1"/>
                <c:pt idx="0">
                  <c:v>変動係数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花びらのバランスに関する分析!$K$15:$K$37</c:f>
              <c:numCache>
                <c:formatCode>General</c:formatCode>
                <c:ptCount val="23"/>
                <c:pt idx="0">
                  <c:v>0</c:v>
                </c:pt>
                <c:pt idx="1">
                  <c:v>0.23606797749978969</c:v>
                </c:pt>
                <c:pt idx="2">
                  <c:v>0.20633097805326348</c:v>
                </c:pt>
                <c:pt idx="3">
                  <c:v>0.33846979188226589</c:v>
                </c:pt>
                <c:pt idx="4">
                  <c:v>0.22087035232167357</c:v>
                </c:pt>
                <c:pt idx="5">
                  <c:v>0.31729015913599051</c:v>
                </c:pt>
                <c:pt idx="6">
                  <c:v>0.3161327373884022</c:v>
                </c:pt>
                <c:pt idx="7">
                  <c:v>0.21583396448920567</c:v>
                </c:pt>
                <c:pt idx="8">
                  <c:v>0.29488533436570208</c:v>
                </c:pt>
                <c:pt idx="9">
                  <c:v>0.32746057115055888</c:v>
                </c:pt>
                <c:pt idx="10">
                  <c:v>0.32772472584466766</c:v>
                </c:pt>
                <c:pt idx="11">
                  <c:v>0.29576438466980576</c:v>
                </c:pt>
                <c:pt idx="12">
                  <c:v>0.21782940936817832</c:v>
                </c:pt>
                <c:pt idx="13">
                  <c:v>0.27254375317309282</c:v>
                </c:pt>
                <c:pt idx="14">
                  <c:v>0.30566816697141297</c:v>
                </c:pt>
                <c:pt idx="15">
                  <c:v>0.3238957306042381</c:v>
                </c:pt>
                <c:pt idx="16">
                  <c:v>0.32970645338792476</c:v>
                </c:pt>
                <c:pt idx="17">
                  <c:v>0.32376956559509307</c:v>
                </c:pt>
                <c:pt idx="18">
                  <c:v>0.3054007251196838</c:v>
                </c:pt>
                <c:pt idx="19">
                  <c:v>0.27209365905809757</c:v>
                </c:pt>
                <c:pt idx="20">
                  <c:v>0.21707786804190946</c:v>
                </c:pt>
                <c:pt idx="21">
                  <c:v>0.25441647770904574</c:v>
                </c:pt>
                <c:pt idx="22">
                  <c:v>0.2817803004517957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4-42DF-8847-66839C5C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947080"/>
        <c:axId val="722942160"/>
      </c:lineChart>
      <c:catAx>
        <c:axId val="7229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2942160"/>
        <c:crosses val="autoZero"/>
        <c:auto val="1"/>
        <c:lblAlgn val="ctr"/>
        <c:lblOffset val="100"/>
        <c:noMultiLvlLbl val="0"/>
      </c:catAx>
      <c:valAx>
        <c:axId val="72294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2947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8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DAE13D8-550F-4F11-BB23-BF4003DF6DD5}"/>
            </a:ext>
          </a:extLst>
        </xdr:cNvPr>
        <xdr:cNvSpPr/>
      </xdr:nvSpPr>
      <xdr:spPr>
        <a:xfrm>
          <a:off x="693420" y="259080"/>
          <a:ext cx="510159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1</xdr:row>
      <xdr:rowOff>91440</xdr:rowOff>
    </xdr:from>
    <xdr:to>
      <xdr:col>8</xdr:col>
      <xdr:colOff>281940</xdr:colOff>
      <xdr:row>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FCF9928-F718-4251-85B9-52C6737F5A5C}"/>
            </a:ext>
          </a:extLst>
        </xdr:cNvPr>
        <xdr:cNvSpPr txBox="1"/>
      </xdr:nvSpPr>
      <xdr:spPr>
        <a:xfrm>
          <a:off x="792480" y="320040"/>
          <a:ext cx="485394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（１）フィボナッチ数</a:t>
          </a:r>
          <a:r>
            <a:rPr kumimoji="1" lang="en-US" altLang="ja-JP" sz="1100"/>
            <a:t>{F_n}</a:t>
          </a:r>
          <a:r>
            <a:rPr kumimoji="1" lang="ja-JP" altLang="en-US" sz="1100"/>
            <a:t>を作成してみましょう。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（２）フィボナッチ数の比を表にまとめ、折れ線グラフを作成しましょう。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105410</xdr:colOff>
      <xdr:row>11</xdr:row>
      <xdr:rowOff>214630</xdr:rowOff>
    </xdr:from>
    <xdr:to>
      <xdr:col>2</xdr:col>
      <xdr:colOff>1257300</xdr:colOff>
      <xdr:row>13</xdr:row>
      <xdr:rowOff>30480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17BB8E4-06B1-4C55-BA3D-52262883745A}"/>
            </a:ext>
          </a:extLst>
        </xdr:cNvPr>
        <xdr:cNvSpPr/>
      </xdr:nvSpPr>
      <xdr:spPr>
        <a:xfrm>
          <a:off x="1431290" y="2744470"/>
          <a:ext cx="1151890" cy="2730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22860</xdr:colOff>
      <xdr:row>1</xdr:row>
      <xdr:rowOff>30480</xdr:rowOff>
    </xdr:from>
    <xdr:to>
      <xdr:col>8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7D1ACA7-8CCC-4B21-9CD3-A03B149480AA}"/>
            </a:ext>
          </a:extLst>
        </xdr:cNvPr>
        <xdr:cNvSpPr/>
      </xdr:nvSpPr>
      <xdr:spPr>
        <a:xfrm>
          <a:off x="683260" y="257810"/>
          <a:ext cx="6409690" cy="116967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1</xdr:row>
      <xdr:rowOff>91440</xdr:rowOff>
    </xdr:from>
    <xdr:to>
      <xdr:col>8</xdr:col>
      <xdr:colOff>281940</xdr:colOff>
      <xdr:row>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112B453-0439-4690-A734-5B2E069A4098}"/>
            </a:ext>
          </a:extLst>
        </xdr:cNvPr>
        <xdr:cNvSpPr txBox="1"/>
      </xdr:nvSpPr>
      <xdr:spPr>
        <a:xfrm>
          <a:off x="786130" y="322580"/>
          <a:ext cx="6158230" cy="1049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（１）フィボナッチ数</a:t>
          </a:r>
          <a:r>
            <a:rPr kumimoji="1" lang="en-US" altLang="ja-JP" sz="1100"/>
            <a:t>{F_n}</a:t>
          </a:r>
          <a:r>
            <a:rPr kumimoji="1" lang="ja-JP" altLang="en-US" sz="1100"/>
            <a:t>を作成してみましょう。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（２）フィボナッチ数の比を表にまとめ、折れ線グラフを作成しましょう。</a:t>
          </a:r>
        </a:p>
      </xdr:txBody>
    </xdr:sp>
    <xdr:clientData/>
  </xdr:twoCellAnchor>
  <xdr:twoCellAnchor>
    <xdr:from>
      <xdr:col>2</xdr:col>
      <xdr:colOff>673100</xdr:colOff>
      <xdr:row>13</xdr:row>
      <xdr:rowOff>190500</xdr:rowOff>
    </xdr:from>
    <xdr:to>
      <xdr:col>3</xdr:col>
      <xdr:colOff>685800</xdr:colOff>
      <xdr:row>15</xdr:row>
      <xdr:rowOff>143510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DD4EC42-0005-4FC6-A498-DE9189C10BF1}"/>
            </a:ext>
          </a:extLst>
        </xdr:cNvPr>
        <xdr:cNvSpPr/>
      </xdr:nvSpPr>
      <xdr:spPr>
        <a:xfrm>
          <a:off x="1998980" y="3177540"/>
          <a:ext cx="1384300" cy="410210"/>
        </a:xfrm>
        <a:prstGeom prst="wedgeRectCallout">
          <a:avLst>
            <a:gd name="adj1" fmla="val -35849"/>
            <a:gd name="adj2" fmla="val -110394"/>
          </a:avLst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892810</xdr:colOff>
      <xdr:row>14</xdr:row>
      <xdr:rowOff>1270</xdr:rowOff>
    </xdr:from>
    <xdr:to>
      <xdr:col>3</xdr:col>
      <xdr:colOff>510540</xdr:colOff>
      <xdr:row>15</xdr:row>
      <xdr:rowOff>60960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D086F24-280B-43AF-A0DB-E99CB934B7D2}"/>
            </a:ext>
          </a:extLst>
        </xdr:cNvPr>
        <xdr:cNvSpPr txBox="1"/>
      </xdr:nvSpPr>
      <xdr:spPr>
        <a:xfrm>
          <a:off x="2218690" y="3216910"/>
          <a:ext cx="989330" cy="288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rgbClr val="FF0000"/>
              </a:solidFill>
            </a:rPr>
            <a:t>=C11+C12</a:t>
          </a:r>
          <a:endParaRPr kumimoji="1" lang="ja-JP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100330</xdr:colOff>
      <xdr:row>12</xdr:row>
      <xdr:rowOff>152400</xdr:rowOff>
    </xdr:from>
    <xdr:to>
      <xdr:col>6</xdr:col>
      <xdr:colOff>167640</xdr:colOff>
      <xdr:row>14</xdr:row>
      <xdr:rowOff>96520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24C38816-5AE4-4DFC-A90B-76B5B6CA44EC}"/>
            </a:ext>
          </a:extLst>
        </xdr:cNvPr>
        <xdr:cNvSpPr/>
      </xdr:nvSpPr>
      <xdr:spPr>
        <a:xfrm>
          <a:off x="4108450" y="2910840"/>
          <a:ext cx="1393190" cy="401320"/>
        </a:xfrm>
        <a:prstGeom prst="wedgeRectCallout">
          <a:avLst>
            <a:gd name="adj1" fmla="val -64274"/>
            <a:gd name="adj2" fmla="val -110454"/>
          </a:avLst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325120</xdr:colOff>
      <xdr:row>12</xdr:row>
      <xdr:rowOff>191770</xdr:rowOff>
    </xdr:from>
    <xdr:to>
      <xdr:col>6</xdr:col>
      <xdr:colOff>45720</xdr:colOff>
      <xdr:row>14</xdr:row>
      <xdr:rowOff>30480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334899-8203-4DED-B674-3E4E876D30B8}"/>
            </a:ext>
          </a:extLst>
        </xdr:cNvPr>
        <xdr:cNvSpPr txBox="1"/>
      </xdr:nvSpPr>
      <xdr:spPr>
        <a:xfrm>
          <a:off x="4333240" y="2950210"/>
          <a:ext cx="1046480" cy="295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rgbClr val="FF0000"/>
              </a:solidFill>
            </a:rPr>
            <a:t>=C12/C11</a:t>
          </a:r>
          <a:endParaRPr kumimoji="1" lang="ja-JP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96520</xdr:colOff>
      <xdr:row>10</xdr:row>
      <xdr:rowOff>212090</xdr:rowOff>
    </xdr:from>
    <xdr:to>
      <xdr:col>3</xdr:col>
      <xdr:colOff>1250950</xdr:colOff>
      <xdr:row>12</xdr:row>
      <xdr:rowOff>30480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82F5A97-27F8-4920-9624-45AEEBA9D08A}"/>
            </a:ext>
          </a:extLst>
        </xdr:cNvPr>
        <xdr:cNvSpPr/>
      </xdr:nvSpPr>
      <xdr:spPr>
        <a:xfrm>
          <a:off x="2794000" y="2513330"/>
          <a:ext cx="1154430" cy="27559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10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7D83785-D492-48A9-915F-4F133C05C4CD}"/>
            </a:ext>
          </a:extLst>
        </xdr:cNvPr>
        <xdr:cNvSpPr/>
      </xdr:nvSpPr>
      <xdr:spPr>
        <a:xfrm>
          <a:off x="693420" y="25908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1</xdr:row>
      <xdr:rowOff>91440</xdr:rowOff>
    </xdr:from>
    <xdr:to>
      <xdr:col>10</xdr:col>
      <xdr:colOff>281940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B7326C6-C579-442E-9DEE-0EBE5DD9E32A}"/>
                </a:ext>
              </a:extLst>
            </xdr:cNvPr>
            <xdr:cNvSpPr txBox="1"/>
          </xdr:nvSpPr>
          <xdr:spPr>
            <a:xfrm>
              <a:off x="792480" y="320040"/>
              <a:ext cx="6195060" cy="1051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/>
                <a:t>演習問題２</a:t>
              </a:r>
              <a:endParaRPr kumimoji="1" lang="en-US" altLang="ja-JP" sz="1100" b="1"/>
            </a:p>
            <a:p>
              <a:r>
                <a:rPr kumimoji="1" lang="ja-JP" altLang="en-US" sz="1100"/>
                <a:t>（１）黄金比</a:t>
              </a:r>
              <a14:m>
                <m:oMath xmlns:m="http://schemas.openxmlformats.org/officeDocument/2006/math">
                  <m:r>
                    <a:rPr kumimoji="1" lang="en-US" altLang="ja-JP" sz="1100" b="0" i="0">
                      <a:latin typeface="Cambria Math" panose="02040503050406030204" pitchFamily="18" charset="0"/>
                    </a:rPr>
                    <m:t> </m:t>
                  </m:r>
                  <m:r>
                    <a:rPr kumimoji="1" lang="ja-JP" altLang="en-US" sz="1100" i="1">
                      <a:latin typeface="Cambria Math" panose="02040503050406030204" pitchFamily="18" charset="0"/>
                    </a:rPr>
                    <m:t>𝜑</m:t>
                  </m:r>
                  <m:r>
                    <a:rPr kumimoji="1" lang="en-US" altLang="ja-JP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kumimoji="1" lang="ja-JP" altLang="en-US" sz="1100"/>
                <a:t>を数値で求めてみましょう。</a:t>
              </a:r>
              <a:endParaRPr kumimoji="1" lang="en-US" altLang="ja-JP" sz="1100"/>
            </a:p>
            <a:p>
              <a:endParaRPr kumimoji="1" lang="en-US" altLang="ja-JP" sz="1100"/>
            </a:p>
            <a:p>
              <a:r>
                <a:rPr kumimoji="1" lang="ja-JP" altLang="en-US" sz="1100"/>
                <a:t>（２）適当な番号のフィボナッチ数を出力する「</a:t>
              </a:r>
              <a:r>
                <a:rPr kumimoji="1" lang="ja-JP" altLang="en-US" sz="1100" b="1"/>
                <a:t>フィボナッチ・マシーン</a:t>
              </a:r>
              <a:r>
                <a:rPr kumimoji="1" lang="ja-JP" altLang="en-US" sz="1100"/>
                <a:t>」を体感しましょう。</a:t>
              </a:r>
              <a:endParaRPr kumimoji="1" lang="en-US" altLang="ja-JP" sz="11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B7326C6-C579-442E-9DEE-0EBE5DD9E32A}"/>
                </a:ext>
              </a:extLst>
            </xdr:cNvPr>
            <xdr:cNvSpPr txBox="1"/>
          </xdr:nvSpPr>
          <xdr:spPr>
            <a:xfrm>
              <a:off x="792480" y="320040"/>
              <a:ext cx="6195060" cy="1051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/>
                <a:t>演習問題２</a:t>
              </a:r>
              <a:endParaRPr kumimoji="1" lang="en-US" altLang="ja-JP" sz="1100" b="1"/>
            </a:p>
            <a:p>
              <a:r>
                <a:rPr kumimoji="1" lang="ja-JP" altLang="en-US" sz="1100"/>
                <a:t>（１）黄金比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</a:t>
              </a:r>
              <a:r>
                <a:rPr kumimoji="1" lang="ja-JP" altLang="en-US" sz="1100"/>
                <a:t>を数値で求めてみましょう。</a:t>
              </a:r>
              <a:endParaRPr kumimoji="1" lang="en-US" altLang="ja-JP" sz="1100"/>
            </a:p>
            <a:p>
              <a:endParaRPr kumimoji="1" lang="en-US" altLang="ja-JP" sz="1100"/>
            </a:p>
            <a:p>
              <a:r>
                <a:rPr kumimoji="1" lang="ja-JP" altLang="en-US" sz="1100"/>
                <a:t>（２）適当な番号のフィボナッチ数を出力する「</a:t>
              </a:r>
              <a:r>
                <a:rPr kumimoji="1" lang="ja-JP" altLang="en-US" sz="1100" b="1"/>
                <a:t>フィボナッチ・マシーン</a:t>
              </a:r>
              <a:r>
                <a:rPr kumimoji="1" lang="ja-JP" altLang="en-US" sz="1100"/>
                <a:t>」を体感しましょう。</a:t>
              </a:r>
              <a:endParaRPr kumimoji="1" lang="en-US" altLang="ja-JP" sz="1100"/>
            </a:p>
          </xdr:txBody>
        </xdr:sp>
      </mc:Fallback>
    </mc:AlternateContent>
    <xdr:clientData/>
  </xdr:twoCellAnchor>
  <xdr:twoCellAnchor>
    <xdr:from>
      <xdr:col>2</xdr:col>
      <xdr:colOff>15240</xdr:colOff>
      <xdr:row>15</xdr:row>
      <xdr:rowOff>22860</xdr:rowOff>
    </xdr:from>
    <xdr:to>
      <xdr:col>5</xdr:col>
      <xdr:colOff>647700</xdr:colOff>
      <xdr:row>18</xdr:row>
      <xdr:rowOff>198120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3D94226-2F05-46BA-88A6-E0210F43651C}"/>
            </a:ext>
          </a:extLst>
        </xdr:cNvPr>
        <xdr:cNvSpPr/>
      </xdr:nvSpPr>
      <xdr:spPr>
        <a:xfrm>
          <a:off x="1356360" y="3467100"/>
          <a:ext cx="2644140" cy="861060"/>
        </a:xfrm>
        <a:prstGeom prst="rect">
          <a:avLst/>
        </a:prstGeom>
        <a:solidFill>
          <a:schemeClr val="bg1"/>
        </a:solidFill>
        <a:ln w="381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365760</xdr:colOff>
      <xdr:row>16</xdr:row>
      <xdr:rowOff>7620</xdr:rowOff>
    </xdr:from>
    <xdr:to>
      <xdr:col>5</xdr:col>
      <xdr:colOff>327660</xdr:colOff>
      <xdr:row>18</xdr:row>
      <xdr:rowOff>114300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C002B6C9-9840-4085-A54C-0056CA24987A}"/>
                </a:ext>
              </a:extLst>
            </xdr:cNvPr>
            <xdr:cNvSpPr txBox="1"/>
          </xdr:nvSpPr>
          <xdr:spPr>
            <a:xfrm>
              <a:off x="1706880" y="3680460"/>
              <a:ext cx="1973580" cy="5638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kumimoji="1" lang="en-US" altLang="ja-JP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ja-JP" altLang="en-US" sz="1400" b="0" i="1">
                                <a:latin typeface="Cambria Math" panose="02040503050406030204" pitchFamily="18" charset="0"/>
                              </a:rPr>
                              <m:t>𝜑</m:t>
                            </m:r>
                          </m:e>
                          <m:sup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(−</m:t>
                            </m:r>
                            <m:r>
                              <a:rPr kumimoji="1" lang="ja-JP" altLang="en-US" sz="1400" b="0" i="1">
                                <a:latin typeface="Cambria Math" panose="02040503050406030204" pitchFamily="18" charset="0"/>
                              </a:rPr>
                              <m:t>𝜑</m:t>
                            </m:r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</m:rad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C002B6C9-9840-4085-A54C-0056CA24987A}"/>
                </a:ext>
              </a:extLst>
            </xdr:cNvPr>
            <xdr:cNvSpPr txBox="1"/>
          </xdr:nvSpPr>
          <xdr:spPr>
            <a:xfrm>
              <a:off x="1706880" y="3680460"/>
              <a:ext cx="1973580" cy="5638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400" b="0" i="0">
                  <a:latin typeface="Cambria Math" panose="02040503050406030204" pitchFamily="18" charset="0"/>
                </a:rPr>
                <a:t>𝐹_𝑛=(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^𝑛−〖(−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)〗^(−𝑛))/√5</a:t>
              </a:r>
              <a:endParaRPr kumimoji="1" lang="ja-JP" altLang="en-US" sz="1400"/>
            </a:p>
          </xdr:txBody>
        </xdr:sp>
      </mc:Fallback>
    </mc:AlternateContent>
    <xdr:clientData/>
  </xdr:twoCellAnchor>
  <xdr:twoCellAnchor>
    <xdr:from>
      <xdr:col>2</xdr:col>
      <xdr:colOff>15240</xdr:colOff>
      <xdr:row>9</xdr:row>
      <xdr:rowOff>22860</xdr:rowOff>
    </xdr:from>
    <xdr:to>
      <xdr:col>5</xdr:col>
      <xdr:colOff>647700</xdr:colOff>
      <xdr:row>12</xdr:row>
      <xdr:rowOff>213360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7F64BE3-B0D1-4ACE-B80C-BDB9A2FCC65B}"/>
            </a:ext>
          </a:extLst>
        </xdr:cNvPr>
        <xdr:cNvSpPr/>
      </xdr:nvSpPr>
      <xdr:spPr>
        <a:xfrm>
          <a:off x="1356360" y="2080260"/>
          <a:ext cx="2644140" cy="891540"/>
        </a:xfrm>
        <a:prstGeom prst="rect">
          <a:avLst/>
        </a:prstGeom>
        <a:solidFill>
          <a:schemeClr val="bg1"/>
        </a:solidFill>
        <a:ln w="381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335280</xdr:colOff>
      <xdr:row>9</xdr:row>
      <xdr:rowOff>114300</xdr:rowOff>
    </xdr:from>
    <xdr:to>
      <xdr:col>5</xdr:col>
      <xdr:colOff>236220</xdr:colOff>
      <xdr:row>12</xdr:row>
      <xdr:rowOff>175260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C9978686-5198-452D-A608-B2E322EF7249}"/>
                </a:ext>
              </a:extLst>
            </xdr:cNvPr>
            <xdr:cNvSpPr txBox="1"/>
          </xdr:nvSpPr>
          <xdr:spPr>
            <a:xfrm>
              <a:off x="1676400" y="2171700"/>
              <a:ext cx="1912620" cy="7467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ja-JP" altLang="en-US" sz="1600" i="1">
                        <a:latin typeface="Cambria Math" panose="02040503050406030204" pitchFamily="18" charset="0"/>
                      </a:rPr>
                      <m:t>𝜑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1+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</m:rad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C9978686-5198-452D-A608-B2E322EF7249}"/>
                </a:ext>
              </a:extLst>
            </xdr:cNvPr>
            <xdr:cNvSpPr txBox="1"/>
          </xdr:nvSpPr>
          <xdr:spPr>
            <a:xfrm>
              <a:off x="1676400" y="2171700"/>
              <a:ext cx="1912620" cy="7467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60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=(1+√5)/2</a:t>
              </a:r>
              <a:endParaRPr kumimoji="1" lang="ja-JP" altLang="en-US" sz="1600"/>
            </a:p>
          </xdr:txBody>
        </xdr:sp>
      </mc:Fallback>
    </mc:AlternateContent>
    <xdr:clientData/>
  </xdr:twoCellAnchor>
  <xdr:twoCellAnchor>
    <xdr:from>
      <xdr:col>2</xdr:col>
      <xdr:colOff>464820</xdr:colOff>
      <xdr:row>14</xdr:row>
      <xdr:rowOff>114300</xdr:rowOff>
    </xdr:from>
    <xdr:to>
      <xdr:col>5</xdr:col>
      <xdr:colOff>121920</xdr:colOff>
      <xdr:row>15</xdr:row>
      <xdr:rowOff>160020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DFE2332-87A8-4B36-8C44-DDE32502C7C7}"/>
            </a:ext>
          </a:extLst>
        </xdr:cNvPr>
        <xdr:cNvSpPr txBox="1"/>
      </xdr:nvSpPr>
      <xdr:spPr>
        <a:xfrm>
          <a:off x="1805940" y="3329940"/>
          <a:ext cx="166878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ド・モアブ</a:t>
          </a:r>
          <a:r>
            <a:rPr kumimoji="1" lang="en-US" altLang="ja-JP" sz="1100" b="1"/>
            <a:t>=</a:t>
          </a:r>
          <a:r>
            <a:rPr kumimoji="1" lang="ja-JP" altLang="en-US" sz="1100" b="1"/>
            <a:t>ビネの公式</a:t>
          </a:r>
        </a:p>
      </xdr:txBody>
    </xdr:sp>
    <xdr:clientData/>
  </xdr:twoCellAnchor>
  <xdr:twoCellAnchor>
    <xdr:from>
      <xdr:col>9</xdr:col>
      <xdr:colOff>38100</xdr:colOff>
      <xdr:row>15</xdr:row>
      <xdr:rowOff>182880</xdr:rowOff>
    </xdr:from>
    <xdr:to>
      <xdr:col>12</xdr:col>
      <xdr:colOff>30480</xdr:colOff>
      <xdr:row>17</xdr:row>
      <xdr:rowOff>60960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17BC56A-899B-406E-A695-0277389DC859}"/>
            </a:ext>
          </a:extLst>
        </xdr:cNvPr>
        <xdr:cNvSpPr txBox="1"/>
      </xdr:nvSpPr>
      <xdr:spPr>
        <a:xfrm>
          <a:off x="6499860" y="3634740"/>
          <a:ext cx="2004060" cy="350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←数字を変えてみましょう。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10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01C9230-3A63-4D93-AC30-9FE321D4C9AC}"/>
            </a:ext>
          </a:extLst>
        </xdr:cNvPr>
        <xdr:cNvSpPr/>
      </xdr:nvSpPr>
      <xdr:spPr>
        <a:xfrm>
          <a:off x="683260" y="257810"/>
          <a:ext cx="6813550" cy="116967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1</xdr:row>
      <xdr:rowOff>91440</xdr:rowOff>
    </xdr:from>
    <xdr:to>
      <xdr:col>10</xdr:col>
      <xdr:colOff>281940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5DFD08BB-2911-4E0F-9EAF-96850B5392CD}"/>
                </a:ext>
              </a:extLst>
            </xdr:cNvPr>
            <xdr:cNvSpPr txBox="1"/>
          </xdr:nvSpPr>
          <xdr:spPr>
            <a:xfrm>
              <a:off x="786130" y="322580"/>
              <a:ext cx="6562090" cy="10490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/>
                <a:t>演習問題２</a:t>
              </a:r>
              <a:endParaRPr kumimoji="1" lang="en-US" altLang="ja-JP" sz="1100" b="1"/>
            </a:p>
            <a:p>
              <a:r>
                <a:rPr kumimoji="1" lang="ja-JP" altLang="en-US" sz="1100"/>
                <a:t>（１）黄金比</a:t>
              </a:r>
              <a14:m>
                <m:oMath xmlns:m="http://schemas.openxmlformats.org/officeDocument/2006/math">
                  <m:r>
                    <a:rPr kumimoji="1" lang="en-US" altLang="ja-JP" sz="1100" b="0" i="0">
                      <a:latin typeface="Cambria Math" panose="02040503050406030204" pitchFamily="18" charset="0"/>
                    </a:rPr>
                    <m:t> </m:t>
                  </m:r>
                  <m:r>
                    <a:rPr kumimoji="1" lang="ja-JP" altLang="en-US" sz="1100" i="1">
                      <a:latin typeface="Cambria Math" panose="02040503050406030204" pitchFamily="18" charset="0"/>
                    </a:rPr>
                    <m:t>𝜑</m:t>
                  </m:r>
                  <m:r>
                    <a:rPr kumimoji="1" lang="en-US" altLang="ja-JP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kumimoji="1" lang="ja-JP" altLang="en-US" sz="1100"/>
                <a:t>を数値で求めてみましょう。</a:t>
              </a:r>
              <a:endParaRPr kumimoji="1" lang="en-US" altLang="ja-JP" sz="1100"/>
            </a:p>
            <a:p>
              <a:endParaRPr kumimoji="1" lang="en-US" altLang="ja-JP" sz="1100"/>
            </a:p>
            <a:p>
              <a:r>
                <a:rPr kumimoji="1" lang="ja-JP" altLang="en-US" sz="1100"/>
                <a:t>（２）適当な番号のフィボナッチ数を出力する「</a:t>
              </a:r>
              <a:r>
                <a:rPr kumimoji="1" lang="ja-JP" altLang="en-US" sz="1100" b="1"/>
                <a:t>フィボナッチ・マシーン</a:t>
              </a:r>
              <a:r>
                <a:rPr kumimoji="1" lang="ja-JP" altLang="en-US" sz="1100"/>
                <a:t>」を体感しましょう。</a:t>
              </a:r>
              <a:endParaRPr kumimoji="1" lang="en-US" altLang="ja-JP" sz="11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5DFD08BB-2911-4E0F-9EAF-96850B5392CD}"/>
                </a:ext>
              </a:extLst>
            </xdr:cNvPr>
            <xdr:cNvSpPr txBox="1"/>
          </xdr:nvSpPr>
          <xdr:spPr>
            <a:xfrm>
              <a:off x="786130" y="322580"/>
              <a:ext cx="6562090" cy="10490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/>
                <a:t>演習問題２</a:t>
              </a:r>
              <a:endParaRPr kumimoji="1" lang="en-US" altLang="ja-JP" sz="1100" b="1"/>
            </a:p>
            <a:p>
              <a:r>
                <a:rPr kumimoji="1" lang="ja-JP" altLang="en-US" sz="1100"/>
                <a:t>（１）黄金比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</a:t>
              </a:r>
              <a:r>
                <a:rPr kumimoji="1" lang="ja-JP" altLang="en-US" sz="1100"/>
                <a:t>を数値で求めてみましょう。</a:t>
              </a:r>
              <a:endParaRPr kumimoji="1" lang="en-US" altLang="ja-JP" sz="1100"/>
            </a:p>
            <a:p>
              <a:endParaRPr kumimoji="1" lang="en-US" altLang="ja-JP" sz="1100"/>
            </a:p>
            <a:p>
              <a:r>
                <a:rPr kumimoji="1" lang="ja-JP" altLang="en-US" sz="1100"/>
                <a:t>（２）適当な番号のフィボナッチ数を出力する「</a:t>
              </a:r>
              <a:r>
                <a:rPr kumimoji="1" lang="ja-JP" altLang="en-US" sz="1100" b="1"/>
                <a:t>フィボナッチ・マシーン</a:t>
              </a:r>
              <a:r>
                <a:rPr kumimoji="1" lang="ja-JP" altLang="en-US" sz="1100"/>
                <a:t>」を体感しましょう。</a:t>
              </a:r>
              <a:endParaRPr kumimoji="1" lang="en-US" altLang="ja-JP" sz="1100"/>
            </a:p>
          </xdr:txBody>
        </xdr:sp>
      </mc:Fallback>
    </mc:AlternateContent>
    <xdr:clientData/>
  </xdr:twoCellAnchor>
  <xdr:twoCellAnchor>
    <xdr:from>
      <xdr:col>2</xdr:col>
      <xdr:colOff>15240</xdr:colOff>
      <xdr:row>15</xdr:row>
      <xdr:rowOff>22860</xdr:rowOff>
    </xdr:from>
    <xdr:to>
      <xdr:col>5</xdr:col>
      <xdr:colOff>647700</xdr:colOff>
      <xdr:row>18</xdr:row>
      <xdr:rowOff>198120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2FC6D05-01D7-49E3-A5AC-5C2089A38C12}"/>
            </a:ext>
          </a:extLst>
        </xdr:cNvPr>
        <xdr:cNvSpPr/>
      </xdr:nvSpPr>
      <xdr:spPr>
        <a:xfrm>
          <a:off x="1343660" y="3472180"/>
          <a:ext cx="2618740" cy="887730"/>
        </a:xfrm>
        <a:prstGeom prst="rect">
          <a:avLst/>
        </a:prstGeom>
        <a:solidFill>
          <a:schemeClr val="bg1"/>
        </a:solidFill>
        <a:ln w="381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365760</xdr:colOff>
      <xdr:row>16</xdr:row>
      <xdr:rowOff>7620</xdr:rowOff>
    </xdr:from>
    <xdr:to>
      <xdr:col>5</xdr:col>
      <xdr:colOff>327660</xdr:colOff>
      <xdr:row>18</xdr:row>
      <xdr:rowOff>114300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28AD586E-91F6-4E9C-8408-3AC9A6C61C30}"/>
                </a:ext>
              </a:extLst>
            </xdr:cNvPr>
            <xdr:cNvSpPr txBox="1"/>
          </xdr:nvSpPr>
          <xdr:spPr>
            <a:xfrm>
              <a:off x="1689100" y="3696970"/>
              <a:ext cx="1950720" cy="5778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kumimoji="1" lang="en-US" altLang="ja-JP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ja-JP" altLang="en-US" sz="1400" b="0" i="1">
                                <a:latin typeface="Cambria Math" panose="02040503050406030204" pitchFamily="18" charset="0"/>
                              </a:rPr>
                              <m:t>𝜑</m:t>
                            </m:r>
                          </m:e>
                          <m:sup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(−</m:t>
                            </m:r>
                            <m:r>
                              <a:rPr kumimoji="1" lang="ja-JP" altLang="en-US" sz="1400" b="0" i="1">
                                <a:latin typeface="Cambria Math" panose="02040503050406030204" pitchFamily="18" charset="0"/>
                              </a:rPr>
                              <m:t>𝜑</m:t>
                            </m:r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</m:rad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28AD586E-91F6-4E9C-8408-3AC9A6C61C30}"/>
                </a:ext>
              </a:extLst>
            </xdr:cNvPr>
            <xdr:cNvSpPr txBox="1"/>
          </xdr:nvSpPr>
          <xdr:spPr>
            <a:xfrm>
              <a:off x="1689100" y="3696970"/>
              <a:ext cx="1950720" cy="5778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kumimoji="1" lang="en-US" altLang="ja-JP" sz="1400" b="0" i="0">
                  <a:latin typeface="Cambria Math" panose="02040503050406030204" pitchFamily="18" charset="0"/>
                </a:rPr>
                <a:t>𝐹_𝑛=(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^𝑛−〖(−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)〗^(−𝑛))/√5</a:t>
              </a:r>
              <a:endParaRPr kumimoji="1" lang="ja-JP" altLang="en-US" sz="1400"/>
            </a:p>
          </xdr:txBody>
        </xdr:sp>
      </mc:Fallback>
    </mc:AlternateContent>
    <xdr:clientData/>
  </xdr:twoCellAnchor>
  <xdr:twoCellAnchor>
    <xdr:from>
      <xdr:col>2</xdr:col>
      <xdr:colOff>15240</xdr:colOff>
      <xdr:row>9</xdr:row>
      <xdr:rowOff>22860</xdr:rowOff>
    </xdr:from>
    <xdr:to>
      <xdr:col>5</xdr:col>
      <xdr:colOff>647700</xdr:colOff>
      <xdr:row>12</xdr:row>
      <xdr:rowOff>213360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90E3C24-E251-4369-AA2D-4B86357DA38F}"/>
            </a:ext>
          </a:extLst>
        </xdr:cNvPr>
        <xdr:cNvSpPr/>
      </xdr:nvSpPr>
      <xdr:spPr>
        <a:xfrm>
          <a:off x="1343660" y="2077720"/>
          <a:ext cx="2618740" cy="891540"/>
        </a:xfrm>
        <a:prstGeom prst="rect">
          <a:avLst/>
        </a:prstGeom>
        <a:solidFill>
          <a:schemeClr val="bg1"/>
        </a:solidFill>
        <a:ln w="381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335280</xdr:colOff>
      <xdr:row>9</xdr:row>
      <xdr:rowOff>114300</xdr:rowOff>
    </xdr:from>
    <xdr:to>
      <xdr:col>5</xdr:col>
      <xdr:colOff>236220</xdr:colOff>
      <xdr:row>12</xdr:row>
      <xdr:rowOff>175260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33E33103-C545-4BAD-914E-CC57764D4287}"/>
                </a:ext>
              </a:extLst>
            </xdr:cNvPr>
            <xdr:cNvSpPr txBox="1"/>
          </xdr:nvSpPr>
          <xdr:spPr>
            <a:xfrm>
              <a:off x="1659890" y="2171700"/>
              <a:ext cx="1892300" cy="7594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ja-JP" altLang="en-US" sz="1600" i="1">
                        <a:latin typeface="Cambria Math" panose="02040503050406030204" pitchFamily="18" charset="0"/>
                      </a:rPr>
                      <m:t>𝜑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1+</m:t>
                        </m:r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</m:rad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33E33103-C545-4BAD-914E-CC57764D4287}"/>
                </a:ext>
              </a:extLst>
            </xdr:cNvPr>
            <xdr:cNvSpPr txBox="1"/>
          </xdr:nvSpPr>
          <xdr:spPr>
            <a:xfrm>
              <a:off x="1659890" y="2171700"/>
              <a:ext cx="1892300" cy="7594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kumimoji="1" lang="ja-JP" altLang="en-US" sz="1600" i="0">
                  <a:latin typeface="Cambria Math" panose="02040503050406030204" pitchFamily="18" charset="0"/>
                </a:rPr>
                <a:t>𝜑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=(1+√5)/2</a:t>
              </a:r>
              <a:endParaRPr kumimoji="1" lang="ja-JP" altLang="en-US" sz="1600"/>
            </a:p>
          </xdr:txBody>
        </xdr:sp>
      </mc:Fallback>
    </mc:AlternateContent>
    <xdr:clientData/>
  </xdr:twoCellAnchor>
  <xdr:twoCellAnchor>
    <xdr:from>
      <xdr:col>2</xdr:col>
      <xdr:colOff>464820</xdr:colOff>
      <xdr:row>14</xdr:row>
      <xdr:rowOff>114300</xdr:rowOff>
    </xdr:from>
    <xdr:to>
      <xdr:col>5</xdr:col>
      <xdr:colOff>121920</xdr:colOff>
      <xdr:row>15</xdr:row>
      <xdr:rowOff>160020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A1015B3-5F76-4836-B49B-B82EA5066D9A}"/>
            </a:ext>
          </a:extLst>
        </xdr:cNvPr>
        <xdr:cNvSpPr txBox="1"/>
      </xdr:nvSpPr>
      <xdr:spPr>
        <a:xfrm>
          <a:off x="1791970" y="3329940"/>
          <a:ext cx="1645920" cy="283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ド・モアブ</a:t>
          </a:r>
          <a:r>
            <a:rPr kumimoji="1" lang="en-US" altLang="ja-JP" sz="1100" b="1"/>
            <a:t>=</a:t>
          </a:r>
          <a:r>
            <a:rPr kumimoji="1" lang="ja-JP" altLang="en-US" sz="1100" b="1"/>
            <a:t>ビネの公式</a:t>
          </a:r>
        </a:p>
      </xdr:txBody>
    </xdr:sp>
    <xdr:clientData/>
  </xdr:twoCellAnchor>
  <xdr:twoCellAnchor>
    <xdr:from>
      <xdr:col>9</xdr:col>
      <xdr:colOff>38100</xdr:colOff>
      <xdr:row>15</xdr:row>
      <xdr:rowOff>182880</xdr:rowOff>
    </xdr:from>
    <xdr:to>
      <xdr:col>12</xdr:col>
      <xdr:colOff>30480</xdr:colOff>
      <xdr:row>17</xdr:row>
      <xdr:rowOff>60960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F9562C9-0FCC-462B-9E40-B0C02A44E4F3}"/>
            </a:ext>
          </a:extLst>
        </xdr:cNvPr>
        <xdr:cNvSpPr txBox="1"/>
      </xdr:nvSpPr>
      <xdr:spPr>
        <a:xfrm>
          <a:off x="6438900" y="3633470"/>
          <a:ext cx="1979930" cy="349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←数字を変えてみましょう。</a:t>
          </a:r>
        </a:p>
      </xdr:txBody>
    </xdr:sp>
    <xdr:clientData/>
  </xdr:twoCellAnchor>
  <xdr:twoCellAnchor>
    <xdr:from>
      <xdr:col>9</xdr:col>
      <xdr:colOff>149860</xdr:colOff>
      <xdr:row>9</xdr:row>
      <xdr:rowOff>181610</xdr:rowOff>
    </xdr:from>
    <xdr:to>
      <xdr:col>12</xdr:col>
      <xdr:colOff>341630</xdr:colOff>
      <xdr:row>11</xdr:row>
      <xdr:rowOff>76200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FAAEDC-11A6-4BDE-8EAA-31E6A5210922}"/>
            </a:ext>
          </a:extLst>
        </xdr:cNvPr>
        <xdr:cNvSpPr txBox="1"/>
      </xdr:nvSpPr>
      <xdr:spPr>
        <a:xfrm>
          <a:off x="6550660" y="2239010"/>
          <a:ext cx="2180590" cy="367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=(1+SQRT(5))/2</a:t>
          </a:r>
          <a:r>
            <a:rPr kumimoji="1" lang="en-US" altLang="ja-JP" sz="1100" b="1" baseline="0">
              <a:solidFill>
                <a:srgbClr val="FF0000"/>
              </a:solidFill>
            </a:rPr>
            <a:t> </a:t>
          </a:r>
          <a:r>
            <a:rPr kumimoji="1" lang="ja-JP" altLang="en-US" sz="1100" b="1" baseline="0">
              <a:solidFill>
                <a:srgbClr val="FF0000"/>
              </a:solidFill>
            </a:rPr>
            <a:t>で出力できます。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453390</xdr:colOff>
      <xdr:row>4</xdr:row>
      <xdr:rowOff>60960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74E2714-E220-4CA6-B868-2A3ED3C307A5}"/>
            </a:ext>
          </a:extLst>
        </xdr:cNvPr>
        <xdr:cNvSpPr/>
      </xdr:nvSpPr>
      <xdr:spPr>
        <a:xfrm>
          <a:off x="670560" y="228600"/>
          <a:ext cx="7158990" cy="7467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11</xdr:col>
      <xdr:colOff>304800</xdr:colOff>
      <xdr:row>4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D89CA3-A484-44DB-9DA7-5EA7B9420486}"/>
            </a:ext>
          </a:extLst>
        </xdr:cNvPr>
        <xdr:cNvSpPr txBox="1"/>
      </xdr:nvSpPr>
      <xdr:spPr>
        <a:xfrm>
          <a:off x="769620" y="289560"/>
          <a:ext cx="6911340" cy="70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いろいろな数を使って、葉のつき方をシミュレーションしてみましょう。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6</xdr:col>
      <xdr:colOff>3810</xdr:colOff>
      <xdr:row>8</xdr:row>
      <xdr:rowOff>217170</xdr:rowOff>
    </xdr:from>
    <xdr:to>
      <xdr:col>11</xdr:col>
      <xdr:colOff>251010</xdr:colOff>
      <xdr:row>24</xdr:row>
      <xdr:rowOff>159570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50B8F3A-844B-4497-8CEE-AA07319A7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274320</xdr:colOff>
      <xdr:row>5</xdr:row>
      <xdr:rowOff>182880</xdr:rowOff>
    </xdr:from>
    <xdr:to>
      <xdr:col>10</xdr:col>
      <xdr:colOff>579120</xdr:colOff>
      <xdr:row>7</xdr:row>
      <xdr:rowOff>7620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A4F4BCD-3329-4B22-93D4-EB3DEF25B289}"/>
            </a:ext>
          </a:extLst>
        </xdr:cNvPr>
        <xdr:cNvSpPr txBox="1"/>
      </xdr:nvSpPr>
      <xdr:spPr>
        <a:xfrm>
          <a:off x="4968240" y="1325880"/>
          <a:ext cx="231648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←ここの数値を変えてみましょう</a:t>
          </a:r>
        </a:p>
      </xdr:txBody>
    </xdr:sp>
    <xdr:clientData/>
  </xdr:twoCellAnchor>
  <xdr:twoCellAnchor>
    <xdr:from>
      <xdr:col>6</xdr:col>
      <xdr:colOff>236220</xdr:colOff>
      <xdr:row>24</xdr:row>
      <xdr:rowOff>213360</xdr:rowOff>
    </xdr:from>
    <xdr:to>
      <xdr:col>10</xdr:col>
      <xdr:colOff>662940</xdr:colOff>
      <xdr:row>26</xdr:row>
      <xdr:rowOff>53340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8B2A3DF-90A7-4531-A0DB-C23C28600E00}"/>
            </a:ext>
          </a:extLst>
        </xdr:cNvPr>
        <xdr:cNvSpPr txBox="1"/>
      </xdr:nvSpPr>
      <xdr:spPr>
        <a:xfrm>
          <a:off x="4259580" y="5715000"/>
          <a:ext cx="310896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↑正多角形に近いと葉が重なってしまいます。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22860</xdr:rowOff>
    </xdr:from>
    <xdr:to>
      <xdr:col>11</xdr:col>
      <xdr:colOff>194310</xdr:colOff>
      <xdr:row>4</xdr:row>
      <xdr:rowOff>83820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59AB137-048D-4087-B704-0C6CD94E0BDC}"/>
            </a:ext>
          </a:extLst>
        </xdr:cNvPr>
        <xdr:cNvSpPr/>
      </xdr:nvSpPr>
      <xdr:spPr>
        <a:xfrm>
          <a:off x="701040" y="251460"/>
          <a:ext cx="6869430" cy="7467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129540</xdr:colOff>
      <xdr:row>1</xdr:row>
      <xdr:rowOff>83820</xdr:rowOff>
    </xdr:from>
    <xdr:to>
      <xdr:col>11</xdr:col>
      <xdr:colOff>45720</xdr:colOff>
      <xdr:row>4</xdr:row>
      <xdr:rowOff>99060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053AA5-34A8-4348-A505-20326F067DF0}"/>
            </a:ext>
          </a:extLst>
        </xdr:cNvPr>
        <xdr:cNvSpPr txBox="1"/>
      </xdr:nvSpPr>
      <xdr:spPr>
        <a:xfrm>
          <a:off x="800100" y="312420"/>
          <a:ext cx="6621780" cy="70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散布図を使って、ひまわりの種の配置をシミュレーションしてみましょう。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5</xdr:col>
      <xdr:colOff>7620</xdr:colOff>
      <xdr:row>7</xdr:row>
      <xdr:rowOff>167640</xdr:rowOff>
    </xdr:from>
    <xdr:to>
      <xdr:col>8</xdr:col>
      <xdr:colOff>0</xdr:colOff>
      <xdr:row>9</xdr:row>
      <xdr:rowOff>45720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7737226-6501-43E9-A5A0-55FB0EA6577D}"/>
            </a:ext>
          </a:extLst>
        </xdr:cNvPr>
        <xdr:cNvSpPr txBox="1"/>
      </xdr:nvSpPr>
      <xdr:spPr>
        <a:xfrm>
          <a:off x="3649980" y="1775460"/>
          <a:ext cx="2004060" cy="350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←数字を変えてみましょう。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22860</xdr:rowOff>
    </xdr:from>
    <xdr:to>
      <xdr:col>11</xdr:col>
      <xdr:colOff>194310</xdr:colOff>
      <xdr:row>4</xdr:row>
      <xdr:rowOff>83820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51B08DB-20BB-42C5-A523-23B2101D9B9B}"/>
            </a:ext>
          </a:extLst>
        </xdr:cNvPr>
        <xdr:cNvSpPr/>
      </xdr:nvSpPr>
      <xdr:spPr>
        <a:xfrm>
          <a:off x="692150" y="248920"/>
          <a:ext cx="7092950" cy="75057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129540</xdr:colOff>
      <xdr:row>1</xdr:row>
      <xdr:rowOff>83820</xdr:rowOff>
    </xdr:from>
    <xdr:to>
      <xdr:col>11</xdr:col>
      <xdr:colOff>45720</xdr:colOff>
      <xdr:row>4</xdr:row>
      <xdr:rowOff>99060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0168321-6355-4227-BE12-74BB0B04C15F}"/>
            </a:ext>
          </a:extLst>
        </xdr:cNvPr>
        <xdr:cNvSpPr txBox="1"/>
      </xdr:nvSpPr>
      <xdr:spPr>
        <a:xfrm>
          <a:off x="795020" y="313690"/>
          <a:ext cx="6841490" cy="697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散布図を使って、ひまわりの種の配置をシミュレーションしてみましょう。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5</xdr:col>
      <xdr:colOff>7620</xdr:colOff>
      <xdr:row>7</xdr:row>
      <xdr:rowOff>167640</xdr:rowOff>
    </xdr:from>
    <xdr:to>
      <xdr:col>8</xdr:col>
      <xdr:colOff>0</xdr:colOff>
      <xdr:row>9</xdr:row>
      <xdr:rowOff>45720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861F34E-A84E-4E8B-A965-F34841330367}"/>
            </a:ext>
          </a:extLst>
        </xdr:cNvPr>
        <xdr:cNvSpPr txBox="1"/>
      </xdr:nvSpPr>
      <xdr:spPr>
        <a:xfrm>
          <a:off x="3620770" y="1778000"/>
          <a:ext cx="1979930" cy="349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←数字を変えてみましょう。</a:t>
          </a:r>
        </a:p>
      </xdr:txBody>
    </xdr:sp>
    <xdr:clientData/>
  </xdr:twoCellAnchor>
  <xdr:twoCellAnchor>
    <xdr:from>
      <xdr:col>6</xdr:col>
      <xdr:colOff>10160</xdr:colOff>
      <xdr:row>28</xdr:row>
      <xdr:rowOff>15240</xdr:rowOff>
    </xdr:from>
    <xdr:to>
      <xdr:col>11</xdr:col>
      <xdr:colOff>294190</xdr:colOff>
      <xdr:row>43</xdr:row>
      <xdr:rowOff>187510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F55291E-6573-4173-AC7B-6867EC5B2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24130</xdr:colOff>
      <xdr:row>14</xdr:row>
      <xdr:rowOff>24130</xdr:rowOff>
    </xdr:from>
    <xdr:to>
      <xdr:col>20</xdr:col>
      <xdr:colOff>367030</xdr:colOff>
      <xdr:row>22</xdr:row>
      <xdr:rowOff>182880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C92B297-76BF-4613-BEA9-38872CDA971F}"/>
            </a:ext>
          </a:extLst>
        </xdr:cNvPr>
        <xdr:cNvSpPr txBox="1"/>
      </xdr:nvSpPr>
      <xdr:spPr>
        <a:xfrm>
          <a:off x="8276590" y="3262630"/>
          <a:ext cx="5646420" cy="198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（ </a:t>
          </a:r>
          <a:r>
            <a:rPr kumimoji="1" lang="en-US" altLang="ja-JP" sz="1100">
              <a:solidFill>
                <a:srgbClr val="FF0000"/>
              </a:solidFill>
            </a:rPr>
            <a:t>x , y </a:t>
          </a:r>
          <a:r>
            <a:rPr kumimoji="1" lang="ja-JP" altLang="en-US" sz="1100">
              <a:solidFill>
                <a:srgbClr val="FF0000"/>
              </a:solidFill>
            </a:rPr>
            <a:t>）で散布図を作ると、バランスを取るために、４つのマーカーが表示されています。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これらは「データ系列の書式設定」→「マーカー」で消すことができます。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①まず、マーカーを選択します。（データ全部ではなく消したいマーカー）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②右クリックで「データ系列の書式設定」→「マーカー」→「マーカーのオプション」→「なし」とします。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③この操作を残り３か所で行います。</a:t>
          </a:r>
        </a:p>
      </xdr:txBody>
    </xdr:sp>
    <xdr:clientData/>
  </xdr:twoCellAnchor>
  <xdr:twoCellAnchor>
    <xdr:from>
      <xdr:col>6</xdr:col>
      <xdr:colOff>5080</xdr:colOff>
      <xdr:row>10</xdr:row>
      <xdr:rowOff>229870</xdr:rowOff>
    </xdr:from>
    <xdr:to>
      <xdr:col>11</xdr:col>
      <xdr:colOff>278950</xdr:colOff>
      <xdr:row>26</xdr:row>
      <xdr:rowOff>165920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41BD2E5-9DC9-4545-8ABD-6CFE7931D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349250</xdr:colOff>
      <xdr:row>12</xdr:row>
      <xdr:rowOff>115570</xdr:rowOff>
    </xdr:from>
    <xdr:to>
      <xdr:col>7</xdr:col>
      <xdr:colOff>15240</xdr:colOff>
      <xdr:row>13</xdr:row>
      <xdr:rowOff>203200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14F47EE-1243-4C29-B18E-D9DE89768C83}"/>
            </a:ext>
          </a:extLst>
        </xdr:cNvPr>
        <xdr:cNvSpPr/>
      </xdr:nvSpPr>
      <xdr:spPr>
        <a:xfrm>
          <a:off x="4624070" y="2896870"/>
          <a:ext cx="328930" cy="31623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236220</xdr:colOff>
      <xdr:row>12</xdr:row>
      <xdr:rowOff>138430</xdr:rowOff>
    </xdr:from>
    <xdr:to>
      <xdr:col>10</xdr:col>
      <xdr:colOff>568960</xdr:colOff>
      <xdr:row>14</xdr:row>
      <xdr:rowOff>2540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E58BA72C-040A-43C7-85B7-026F2130C3BD}"/>
            </a:ext>
          </a:extLst>
        </xdr:cNvPr>
        <xdr:cNvSpPr/>
      </xdr:nvSpPr>
      <xdr:spPr>
        <a:xfrm>
          <a:off x="7162800" y="2919730"/>
          <a:ext cx="332740" cy="32131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367030</xdr:colOff>
      <xdr:row>23</xdr:row>
      <xdr:rowOff>166370</xdr:rowOff>
    </xdr:from>
    <xdr:to>
      <xdr:col>7</xdr:col>
      <xdr:colOff>33020</xdr:colOff>
      <xdr:row>25</xdr:row>
      <xdr:rowOff>36830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31A9031A-01FA-42D1-8CF9-7A55B3C88838}"/>
            </a:ext>
          </a:extLst>
        </xdr:cNvPr>
        <xdr:cNvSpPr/>
      </xdr:nvSpPr>
      <xdr:spPr>
        <a:xfrm>
          <a:off x="4641850" y="5462270"/>
          <a:ext cx="328930" cy="32766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257810</xdr:colOff>
      <xdr:row>23</xdr:row>
      <xdr:rowOff>176530</xdr:rowOff>
    </xdr:from>
    <xdr:to>
      <xdr:col>10</xdr:col>
      <xdr:colOff>589280</xdr:colOff>
      <xdr:row>25</xdr:row>
      <xdr:rowOff>40640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A4DDA95-4BDD-42CE-AF1A-340D9CF6B08B}"/>
            </a:ext>
          </a:extLst>
        </xdr:cNvPr>
        <xdr:cNvSpPr/>
      </xdr:nvSpPr>
      <xdr:spPr>
        <a:xfrm>
          <a:off x="7184390" y="5472430"/>
          <a:ext cx="331470" cy="32131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617220</xdr:colOff>
      <xdr:row>13</xdr:row>
      <xdr:rowOff>129540</xdr:rowOff>
    </xdr:from>
    <xdr:to>
      <xdr:col>12</xdr:col>
      <xdr:colOff>76200</xdr:colOff>
      <xdr:row>14</xdr:row>
      <xdr:rowOff>83820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68E5783-8CD2-4279-AB98-7A0D844BC9DF}"/>
            </a:ext>
          </a:extLst>
        </xdr:cNvPr>
        <xdr:cNvCxnSpPr/>
      </xdr:nvCxnSpPr>
      <xdr:spPr>
        <a:xfrm flipH="1" flipV="1">
          <a:off x="7543800" y="3139440"/>
          <a:ext cx="784860" cy="1828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246380</xdr:colOff>
      <xdr:row>26</xdr:row>
      <xdr:rowOff>58420</xdr:rowOff>
    </xdr:from>
    <xdr:to>
      <xdr:col>9</xdr:col>
      <xdr:colOff>123190</xdr:colOff>
      <xdr:row>29</xdr:row>
      <xdr:rowOff>8890</xdr:rowOff>
    </xdr:to>
    <xdr:sp macro="" textlink="">
      <xdr:nvSpPr>
        <xdr:cNvPr id="15" name="矢印: 下 14">
          <a:extLst>
            <a:ext uri="{FF2B5EF4-FFF2-40B4-BE49-F238E27FC236}">
              <a16:creationId xmlns:a16="http://schemas.microsoft.com/office/drawing/2014/main" id="{B89833ED-E5D5-4105-B0DC-F247ACF811E4}"/>
            </a:ext>
          </a:extLst>
        </xdr:cNvPr>
        <xdr:cNvSpPr/>
      </xdr:nvSpPr>
      <xdr:spPr>
        <a:xfrm>
          <a:off x="5847080" y="6040120"/>
          <a:ext cx="539750" cy="63627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647700</xdr:colOff>
      <xdr:row>17</xdr:row>
      <xdr:rowOff>8890</xdr:rowOff>
    </xdr:from>
    <xdr:to>
      <xdr:col>21</xdr:col>
      <xdr:colOff>416560</xdr:colOff>
      <xdr:row>37</xdr:row>
      <xdr:rowOff>10160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437A22D-050C-43F6-ACA0-EA524355A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3</xdr:row>
      <xdr:rowOff>129540</xdr:rowOff>
    </xdr:from>
    <xdr:to>
      <xdr:col>5</xdr:col>
      <xdr:colOff>610870</xdr:colOff>
      <xdr:row>4</xdr:row>
      <xdr:rowOff>190500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E35D2B4-A46E-419D-95BA-22EA7D94CFB8}"/>
            </a:ext>
          </a:extLst>
        </xdr:cNvPr>
        <xdr:cNvSpPr txBox="1"/>
      </xdr:nvSpPr>
      <xdr:spPr>
        <a:xfrm>
          <a:off x="177800" y="830580"/>
          <a:ext cx="373507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黄金角度ごとプロットしたときの角度を</a:t>
          </a:r>
          <a:r>
            <a:rPr kumimoji="1" lang="en-US" altLang="ja-JP" sz="1100" b="1">
              <a:solidFill>
                <a:srgbClr val="FF0000"/>
              </a:solidFill>
            </a:rPr>
            <a:t>0</a:t>
          </a:r>
          <a:r>
            <a:rPr kumimoji="1" lang="ja-JP" altLang="en-US" sz="1100" b="1">
              <a:solidFill>
                <a:srgbClr val="FF0000"/>
              </a:solidFill>
            </a:rPr>
            <a:t>～</a:t>
          </a:r>
          <a:r>
            <a:rPr kumimoji="1" lang="en-US" altLang="ja-JP" sz="1100" b="1">
              <a:solidFill>
                <a:srgbClr val="FF0000"/>
              </a:solidFill>
            </a:rPr>
            <a:t>360°</a:t>
          </a:r>
          <a:r>
            <a:rPr kumimoji="1" lang="ja-JP" altLang="en-US" sz="1100" b="1">
              <a:solidFill>
                <a:srgbClr val="FF0000"/>
              </a:solidFill>
            </a:rPr>
            <a:t>で表示</a:t>
          </a:r>
        </a:p>
      </xdr:txBody>
    </xdr:sp>
    <xdr:clientData/>
  </xdr:twoCellAnchor>
  <xdr:twoCellAnchor>
    <xdr:from>
      <xdr:col>0</xdr:col>
      <xdr:colOff>177800</xdr:colOff>
      <xdr:row>3</xdr:row>
      <xdr:rowOff>129540</xdr:rowOff>
    </xdr:from>
    <xdr:to>
      <xdr:col>5</xdr:col>
      <xdr:colOff>613410</xdr:colOff>
      <xdr:row>4</xdr:row>
      <xdr:rowOff>187960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CE6DAAB-BA96-41F6-93B1-BB7D81604BD8}"/>
            </a:ext>
          </a:extLst>
        </xdr:cNvPr>
        <xdr:cNvSpPr txBox="1"/>
      </xdr:nvSpPr>
      <xdr:spPr>
        <a:xfrm>
          <a:off x="177800" y="830580"/>
          <a:ext cx="373761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黄金角度ごとプロットしたときの角度を</a:t>
          </a:r>
          <a:r>
            <a:rPr kumimoji="1" lang="en-US" altLang="ja-JP" sz="1100" b="1">
              <a:solidFill>
                <a:srgbClr val="FF0000"/>
              </a:solidFill>
            </a:rPr>
            <a:t>0</a:t>
          </a:r>
          <a:r>
            <a:rPr kumimoji="1" lang="ja-JP" altLang="en-US" sz="1100" b="1">
              <a:solidFill>
                <a:srgbClr val="FF0000"/>
              </a:solidFill>
            </a:rPr>
            <a:t>～</a:t>
          </a:r>
          <a:r>
            <a:rPr kumimoji="1" lang="en-US" altLang="ja-JP" sz="1100" b="1">
              <a:solidFill>
                <a:srgbClr val="FF0000"/>
              </a:solidFill>
            </a:rPr>
            <a:t>360°</a:t>
          </a:r>
          <a:r>
            <a:rPr kumimoji="1" lang="ja-JP" altLang="en-US" sz="1100" b="1">
              <a:solidFill>
                <a:srgbClr val="FF0000"/>
              </a:solidFill>
            </a:rPr>
            <a:t>で表示</a:t>
          </a:r>
        </a:p>
      </xdr:txBody>
    </xdr:sp>
    <xdr:clientData/>
  </xdr:twoCellAnchor>
  <xdr:twoCellAnchor>
    <xdr:from>
      <xdr:col>6</xdr:col>
      <xdr:colOff>67310</xdr:colOff>
      <xdr:row>8</xdr:row>
      <xdr:rowOff>24130</xdr:rowOff>
    </xdr:from>
    <xdr:to>
      <xdr:col>7</xdr:col>
      <xdr:colOff>599440</xdr:colOff>
      <xdr:row>9</xdr:row>
      <xdr:rowOff>81280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7218C6C-4D72-4A7A-871D-0C7052914062}"/>
            </a:ext>
          </a:extLst>
        </xdr:cNvPr>
        <xdr:cNvSpPr txBox="1"/>
      </xdr:nvSpPr>
      <xdr:spPr>
        <a:xfrm>
          <a:off x="4029710" y="1893570"/>
          <a:ext cx="1192530" cy="290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↑花びらの枚数</a:t>
          </a:r>
        </a:p>
      </xdr:txBody>
    </xdr:sp>
    <xdr:clientData/>
  </xdr:twoCellAnchor>
  <xdr:twoCellAnchor>
    <xdr:from>
      <xdr:col>7</xdr:col>
      <xdr:colOff>166370</xdr:colOff>
      <xdr:row>2</xdr:row>
      <xdr:rowOff>134620</xdr:rowOff>
    </xdr:from>
    <xdr:to>
      <xdr:col>10</xdr:col>
      <xdr:colOff>365760</xdr:colOff>
      <xdr:row>3</xdr:row>
      <xdr:rowOff>172720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C4C5196-5908-4111-921F-AD8C9EC8EFC5}"/>
            </a:ext>
          </a:extLst>
        </xdr:cNvPr>
        <xdr:cNvSpPr txBox="1"/>
      </xdr:nvSpPr>
      <xdr:spPr>
        <a:xfrm>
          <a:off x="4789170" y="601980"/>
          <a:ext cx="2180590" cy="27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0070C0"/>
              </a:solidFill>
            </a:rPr>
            <a:t>↓花びら同士のなす角（開度）</a:t>
          </a:r>
        </a:p>
      </xdr:txBody>
    </xdr:sp>
    <xdr:clientData/>
  </xdr:twoCellAnchor>
  <xdr:twoCellAnchor>
    <xdr:from>
      <xdr:col>7</xdr:col>
      <xdr:colOff>151130</xdr:colOff>
      <xdr:row>11</xdr:row>
      <xdr:rowOff>130810</xdr:rowOff>
    </xdr:from>
    <xdr:to>
      <xdr:col>9</xdr:col>
      <xdr:colOff>17780</xdr:colOff>
      <xdr:row>12</xdr:row>
      <xdr:rowOff>200660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EFA7975-3913-4F39-A856-08E1A87E800B}"/>
            </a:ext>
          </a:extLst>
        </xdr:cNvPr>
        <xdr:cNvSpPr txBox="1"/>
      </xdr:nvSpPr>
      <xdr:spPr>
        <a:xfrm>
          <a:off x="4773930" y="2701290"/>
          <a:ext cx="1187450" cy="30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↓花びらの枚数</a:t>
          </a:r>
        </a:p>
      </xdr:txBody>
    </xdr:sp>
    <xdr:clientData/>
  </xdr:twoCellAnchor>
  <xdr:twoCellAnchor>
    <xdr:from>
      <xdr:col>10</xdr:col>
      <xdr:colOff>153670</xdr:colOff>
      <xdr:row>11</xdr:row>
      <xdr:rowOff>139700</xdr:rowOff>
    </xdr:from>
    <xdr:to>
      <xdr:col>12</xdr:col>
      <xdr:colOff>565150</xdr:colOff>
      <xdr:row>12</xdr:row>
      <xdr:rowOff>205740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A0D1BFC-B961-4D53-91F9-D0C828248E17}"/>
            </a:ext>
          </a:extLst>
        </xdr:cNvPr>
        <xdr:cNvSpPr txBox="1"/>
      </xdr:nvSpPr>
      <xdr:spPr>
        <a:xfrm>
          <a:off x="6757670" y="2710180"/>
          <a:ext cx="1732280" cy="299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00B050"/>
              </a:solidFill>
            </a:rPr>
            <a:t>↓花びらのばらつき</a:t>
          </a:r>
        </a:p>
      </xdr:txBody>
    </xdr:sp>
    <xdr:clientData/>
  </xdr:twoCellAnchor>
  <xdr:twoCellAnchor>
    <xdr:from>
      <xdr:col>5</xdr:col>
      <xdr:colOff>619760</xdr:colOff>
      <xdr:row>3</xdr:row>
      <xdr:rowOff>215900</xdr:rowOff>
    </xdr:from>
    <xdr:to>
      <xdr:col>6</xdr:col>
      <xdr:colOff>648970</xdr:colOff>
      <xdr:row>8</xdr:row>
      <xdr:rowOff>22860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A773151-43FB-40F2-804E-2F4F994A69D8}"/>
            </a:ext>
          </a:extLst>
        </xdr:cNvPr>
        <xdr:cNvSpPr/>
      </xdr:nvSpPr>
      <xdr:spPr>
        <a:xfrm>
          <a:off x="3921760" y="916940"/>
          <a:ext cx="689610" cy="975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652780</xdr:colOff>
      <xdr:row>3</xdr:row>
      <xdr:rowOff>213360</xdr:rowOff>
    </xdr:from>
    <xdr:to>
      <xdr:col>8</xdr:col>
      <xdr:colOff>16510</xdr:colOff>
      <xdr:row>8</xdr:row>
      <xdr:rowOff>20320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ABD45BB-D344-439D-9E9A-FEA752E5298C}"/>
            </a:ext>
          </a:extLst>
        </xdr:cNvPr>
        <xdr:cNvSpPr/>
      </xdr:nvSpPr>
      <xdr:spPr>
        <a:xfrm>
          <a:off x="4615180" y="914400"/>
          <a:ext cx="684530" cy="975360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641350</xdr:colOff>
      <xdr:row>12</xdr:row>
      <xdr:rowOff>218440</xdr:rowOff>
    </xdr:from>
    <xdr:to>
      <xdr:col>11</xdr:col>
      <xdr:colOff>29210</xdr:colOff>
      <xdr:row>37</xdr:row>
      <xdr:rowOff>40640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B9CF746-4609-4D57-9D40-528752271B9B}"/>
            </a:ext>
          </a:extLst>
        </xdr:cNvPr>
        <xdr:cNvSpPr/>
      </xdr:nvSpPr>
      <xdr:spPr>
        <a:xfrm>
          <a:off x="6584950" y="3022600"/>
          <a:ext cx="708660" cy="5664200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629920</xdr:colOff>
      <xdr:row>12</xdr:row>
      <xdr:rowOff>215900</xdr:rowOff>
    </xdr:from>
    <xdr:to>
      <xdr:col>8</xdr:col>
      <xdr:colOff>17780</xdr:colOff>
      <xdr:row>37</xdr:row>
      <xdr:rowOff>44450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DE11A1A-660D-4864-9A86-7009673B6FFD}"/>
            </a:ext>
          </a:extLst>
        </xdr:cNvPr>
        <xdr:cNvSpPr/>
      </xdr:nvSpPr>
      <xdr:spPr>
        <a:xfrm>
          <a:off x="4592320" y="3020060"/>
          <a:ext cx="708660" cy="567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629920</xdr:colOff>
      <xdr:row>4</xdr:row>
      <xdr:rowOff>193040</xdr:rowOff>
    </xdr:from>
    <xdr:to>
      <xdr:col>4</xdr:col>
      <xdr:colOff>40640</xdr:colOff>
      <xdr:row>37</xdr:row>
      <xdr:rowOff>50800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09A1E36-4A97-4A8B-9602-2C8EA729285E}"/>
            </a:ext>
          </a:extLst>
        </xdr:cNvPr>
        <xdr:cNvSpPr/>
      </xdr:nvSpPr>
      <xdr:spPr>
        <a:xfrm>
          <a:off x="1290320" y="1127760"/>
          <a:ext cx="1391920" cy="7569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425450</xdr:colOff>
      <xdr:row>37</xdr:row>
      <xdr:rowOff>31750</xdr:rowOff>
    </xdr:from>
    <xdr:to>
      <xdr:col>21</xdr:col>
      <xdr:colOff>243840</xdr:colOff>
      <xdr:row>38</xdr:row>
      <xdr:rowOff>148590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A210E64-0E58-4A99-A3E8-653B92294688}"/>
            </a:ext>
          </a:extLst>
        </xdr:cNvPr>
        <xdr:cNvSpPr txBox="1"/>
      </xdr:nvSpPr>
      <xdr:spPr>
        <a:xfrm>
          <a:off x="8350250" y="8677910"/>
          <a:ext cx="576199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FF0000"/>
              </a:solidFill>
            </a:rPr>
            <a:t>↑　花びらの枚数がフィボナッチ数のとき、ばらつきが小さい＝バランスがいい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CAFA-112C-4D8F-BEAE-8913DED2F4F2}">
  <dimension ref="B9:D30"/>
  <sheetViews>
    <sheetView tabSelected="1" workbookViewId="0">
      <selection activeCell="B10" sqref="B10"/>
    </sheetView>
  </sheetViews>
  <sheetFormatPr defaultRowHeight="18" x14ac:dyDescent="0.55000000000000004"/>
  <cols>
    <col min="3" max="3" width="18" customWidth="1"/>
    <col min="4" max="4" width="17.1640625" customWidth="1"/>
  </cols>
  <sheetData>
    <row r="9" spans="2:4" ht="18.5" thickBot="1" x14ac:dyDescent="0.6"/>
    <row r="10" spans="2:4" ht="18.5" thickBot="1" x14ac:dyDescent="0.6">
      <c r="B10" s="8" t="s">
        <v>0</v>
      </c>
      <c r="C10" s="8" t="s">
        <v>2</v>
      </c>
      <c r="D10" s="8" t="s">
        <v>3</v>
      </c>
    </row>
    <row r="11" spans="2:4" x14ac:dyDescent="0.55000000000000004">
      <c r="B11" s="6">
        <v>1</v>
      </c>
      <c r="C11" s="6">
        <v>1</v>
      </c>
      <c r="D11" s="47"/>
    </row>
    <row r="12" spans="2:4" x14ac:dyDescent="0.55000000000000004">
      <c r="B12" s="6">
        <v>2</v>
      </c>
      <c r="C12" s="6">
        <v>1</v>
      </c>
      <c r="D12" s="6"/>
    </row>
    <row r="13" spans="2:4" x14ac:dyDescent="0.55000000000000004">
      <c r="B13" s="6">
        <v>3</v>
      </c>
      <c r="C13" s="6"/>
      <c r="D13" s="6"/>
    </row>
    <row r="14" spans="2:4" x14ac:dyDescent="0.55000000000000004">
      <c r="B14" s="6">
        <v>4</v>
      </c>
      <c r="C14" s="6"/>
      <c r="D14" s="6"/>
    </row>
    <row r="15" spans="2:4" x14ac:dyDescent="0.55000000000000004">
      <c r="B15" s="6">
        <v>5</v>
      </c>
      <c r="C15" s="6"/>
      <c r="D15" s="6"/>
    </row>
    <row r="16" spans="2:4" x14ac:dyDescent="0.55000000000000004">
      <c r="B16" s="6">
        <v>6</v>
      </c>
      <c r="C16" s="6"/>
      <c r="D16" s="6"/>
    </row>
    <row r="17" spans="2:4" x14ac:dyDescent="0.55000000000000004">
      <c r="B17" s="6">
        <v>7</v>
      </c>
      <c r="C17" s="6"/>
      <c r="D17" s="6"/>
    </row>
    <row r="18" spans="2:4" x14ac:dyDescent="0.55000000000000004">
      <c r="B18" s="6">
        <v>8</v>
      </c>
      <c r="C18" s="6"/>
      <c r="D18" s="6"/>
    </row>
    <row r="19" spans="2:4" x14ac:dyDescent="0.55000000000000004">
      <c r="B19" s="6">
        <v>9</v>
      </c>
      <c r="C19" s="6"/>
      <c r="D19" s="6"/>
    </row>
    <row r="20" spans="2:4" x14ac:dyDescent="0.55000000000000004">
      <c r="B20" s="6">
        <v>10</v>
      </c>
      <c r="C20" s="6"/>
      <c r="D20" s="6"/>
    </row>
    <row r="21" spans="2:4" x14ac:dyDescent="0.55000000000000004">
      <c r="B21" s="6">
        <v>11</v>
      </c>
      <c r="C21" s="6"/>
      <c r="D21" s="6"/>
    </row>
    <row r="22" spans="2:4" x14ac:dyDescent="0.55000000000000004">
      <c r="B22" s="6">
        <v>12</v>
      </c>
      <c r="C22" s="6"/>
      <c r="D22" s="6"/>
    </row>
    <row r="23" spans="2:4" x14ac:dyDescent="0.55000000000000004">
      <c r="B23" s="6">
        <v>13</v>
      </c>
      <c r="C23" s="6"/>
      <c r="D23" s="6"/>
    </row>
    <row r="24" spans="2:4" x14ac:dyDescent="0.55000000000000004">
      <c r="B24" s="6">
        <v>14</v>
      </c>
      <c r="C24" s="6"/>
      <c r="D24" s="6"/>
    </row>
    <row r="25" spans="2:4" x14ac:dyDescent="0.55000000000000004">
      <c r="B25" s="6">
        <v>15</v>
      </c>
      <c r="C25" s="6"/>
      <c r="D25" s="6"/>
    </row>
    <row r="26" spans="2:4" x14ac:dyDescent="0.55000000000000004">
      <c r="B26" s="6">
        <v>16</v>
      </c>
      <c r="C26" s="6"/>
      <c r="D26" s="6"/>
    </row>
    <row r="27" spans="2:4" x14ac:dyDescent="0.55000000000000004">
      <c r="B27" s="6">
        <v>17</v>
      </c>
      <c r="C27" s="6"/>
      <c r="D27" s="6"/>
    </row>
    <row r="28" spans="2:4" x14ac:dyDescent="0.55000000000000004">
      <c r="B28" s="6">
        <v>18</v>
      </c>
      <c r="C28" s="6"/>
      <c r="D28" s="6"/>
    </row>
    <row r="29" spans="2:4" x14ac:dyDescent="0.55000000000000004">
      <c r="B29" s="6">
        <v>19</v>
      </c>
      <c r="C29" s="6"/>
      <c r="D29" s="6"/>
    </row>
    <row r="30" spans="2:4" ht="18.5" thickBot="1" x14ac:dyDescent="0.6">
      <c r="B30" s="7">
        <v>20</v>
      </c>
      <c r="C30" s="7"/>
      <c r="D30" s="7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AADF-6F0D-4882-8CFE-9A1F936F37B7}">
  <sheetPr>
    <tabColor rgb="FFFF0000"/>
  </sheetPr>
  <dimension ref="B9:D30"/>
  <sheetViews>
    <sheetView workbookViewId="0">
      <selection activeCell="B10" sqref="B10"/>
    </sheetView>
  </sheetViews>
  <sheetFormatPr defaultRowHeight="18" x14ac:dyDescent="0.55000000000000004"/>
  <cols>
    <col min="3" max="3" width="18" customWidth="1"/>
    <col min="4" max="4" width="17.1640625" customWidth="1"/>
  </cols>
  <sheetData>
    <row r="9" spans="2:4" ht="18.5" thickBot="1" x14ac:dyDescent="0.6"/>
    <row r="10" spans="2:4" ht="18.5" thickBot="1" x14ac:dyDescent="0.6">
      <c r="B10" s="8" t="s">
        <v>0</v>
      </c>
      <c r="C10" s="8" t="s">
        <v>2</v>
      </c>
      <c r="D10" s="8" t="s">
        <v>3</v>
      </c>
    </row>
    <row r="11" spans="2:4" x14ac:dyDescent="0.55000000000000004">
      <c r="B11" s="6">
        <v>1</v>
      </c>
      <c r="C11" s="6">
        <v>1</v>
      </c>
      <c r="D11" s="47"/>
    </row>
    <row r="12" spans="2:4" x14ac:dyDescent="0.55000000000000004">
      <c r="B12" s="6">
        <v>2</v>
      </c>
      <c r="C12" s="6">
        <v>1</v>
      </c>
      <c r="D12" s="6">
        <f>C12/C11</f>
        <v>1</v>
      </c>
    </row>
    <row r="13" spans="2:4" x14ac:dyDescent="0.55000000000000004">
      <c r="B13" s="6">
        <v>3</v>
      </c>
      <c r="C13" s="6">
        <f>C11+C12</f>
        <v>2</v>
      </c>
      <c r="D13" s="6">
        <f t="shared" ref="D13:D30" si="0">C13/C12</f>
        <v>2</v>
      </c>
    </row>
    <row r="14" spans="2:4" x14ac:dyDescent="0.55000000000000004">
      <c r="B14" s="6">
        <v>4</v>
      </c>
      <c r="C14" s="6">
        <f t="shared" ref="C14:C30" si="1">C12+C13</f>
        <v>3</v>
      </c>
      <c r="D14" s="6">
        <f t="shared" si="0"/>
        <v>1.5</v>
      </c>
    </row>
    <row r="15" spans="2:4" x14ac:dyDescent="0.55000000000000004">
      <c r="B15" s="6">
        <v>5</v>
      </c>
      <c r="C15" s="6">
        <f t="shared" si="1"/>
        <v>5</v>
      </c>
      <c r="D15" s="6">
        <f t="shared" si="0"/>
        <v>1.6666666666666667</v>
      </c>
    </row>
    <row r="16" spans="2:4" x14ac:dyDescent="0.55000000000000004">
      <c r="B16" s="6">
        <v>6</v>
      </c>
      <c r="C16" s="6">
        <f t="shared" si="1"/>
        <v>8</v>
      </c>
      <c r="D16" s="6">
        <f t="shared" si="0"/>
        <v>1.6</v>
      </c>
    </row>
    <row r="17" spans="2:4" x14ac:dyDescent="0.55000000000000004">
      <c r="B17" s="6">
        <v>7</v>
      </c>
      <c r="C17" s="6">
        <f t="shared" si="1"/>
        <v>13</v>
      </c>
      <c r="D17" s="6">
        <f t="shared" si="0"/>
        <v>1.625</v>
      </c>
    </row>
    <row r="18" spans="2:4" x14ac:dyDescent="0.55000000000000004">
      <c r="B18" s="6">
        <v>8</v>
      </c>
      <c r="C18" s="6">
        <f t="shared" si="1"/>
        <v>21</v>
      </c>
      <c r="D18" s="6">
        <f t="shared" si="0"/>
        <v>1.6153846153846154</v>
      </c>
    </row>
    <row r="19" spans="2:4" x14ac:dyDescent="0.55000000000000004">
      <c r="B19" s="6">
        <v>9</v>
      </c>
      <c r="C19" s="6">
        <f t="shared" si="1"/>
        <v>34</v>
      </c>
      <c r="D19" s="6">
        <f t="shared" si="0"/>
        <v>1.6190476190476191</v>
      </c>
    </row>
    <row r="20" spans="2:4" x14ac:dyDescent="0.55000000000000004">
      <c r="B20" s="6">
        <v>10</v>
      </c>
      <c r="C20" s="6">
        <f t="shared" si="1"/>
        <v>55</v>
      </c>
      <c r="D20" s="6">
        <f t="shared" si="0"/>
        <v>1.6176470588235294</v>
      </c>
    </row>
    <row r="21" spans="2:4" x14ac:dyDescent="0.55000000000000004">
      <c r="B21" s="6">
        <v>11</v>
      </c>
      <c r="C21" s="6">
        <f t="shared" si="1"/>
        <v>89</v>
      </c>
      <c r="D21" s="6">
        <f t="shared" si="0"/>
        <v>1.6181818181818182</v>
      </c>
    </row>
    <row r="22" spans="2:4" x14ac:dyDescent="0.55000000000000004">
      <c r="B22" s="6">
        <v>12</v>
      </c>
      <c r="C22" s="6">
        <f t="shared" si="1"/>
        <v>144</v>
      </c>
      <c r="D22" s="6">
        <f t="shared" si="0"/>
        <v>1.6179775280898876</v>
      </c>
    </row>
    <row r="23" spans="2:4" x14ac:dyDescent="0.55000000000000004">
      <c r="B23" s="6">
        <v>13</v>
      </c>
      <c r="C23" s="6">
        <f t="shared" si="1"/>
        <v>233</v>
      </c>
      <c r="D23" s="6">
        <f t="shared" si="0"/>
        <v>1.6180555555555556</v>
      </c>
    </row>
    <row r="24" spans="2:4" x14ac:dyDescent="0.55000000000000004">
      <c r="B24" s="6">
        <v>14</v>
      </c>
      <c r="C24" s="6">
        <f t="shared" si="1"/>
        <v>377</v>
      </c>
      <c r="D24" s="6">
        <f t="shared" si="0"/>
        <v>1.6180257510729614</v>
      </c>
    </row>
    <row r="25" spans="2:4" x14ac:dyDescent="0.55000000000000004">
      <c r="B25" s="6">
        <v>15</v>
      </c>
      <c r="C25" s="6">
        <f t="shared" si="1"/>
        <v>610</v>
      </c>
      <c r="D25" s="6">
        <f t="shared" si="0"/>
        <v>1.6180371352785146</v>
      </c>
    </row>
    <row r="26" spans="2:4" x14ac:dyDescent="0.55000000000000004">
      <c r="B26" s="6">
        <v>16</v>
      </c>
      <c r="C26" s="6">
        <f t="shared" si="1"/>
        <v>987</v>
      </c>
      <c r="D26" s="6">
        <f t="shared" si="0"/>
        <v>1.618032786885246</v>
      </c>
    </row>
    <row r="27" spans="2:4" x14ac:dyDescent="0.55000000000000004">
      <c r="B27" s="6">
        <v>17</v>
      </c>
      <c r="C27" s="6">
        <f t="shared" si="1"/>
        <v>1597</v>
      </c>
      <c r="D27" s="6">
        <f t="shared" si="0"/>
        <v>1.6180344478216819</v>
      </c>
    </row>
    <row r="28" spans="2:4" x14ac:dyDescent="0.55000000000000004">
      <c r="B28" s="6">
        <v>18</v>
      </c>
      <c r="C28" s="6">
        <f t="shared" si="1"/>
        <v>2584</v>
      </c>
      <c r="D28" s="6">
        <f t="shared" si="0"/>
        <v>1.6180338134001253</v>
      </c>
    </row>
    <row r="29" spans="2:4" x14ac:dyDescent="0.55000000000000004">
      <c r="B29" s="6">
        <v>19</v>
      </c>
      <c r="C29" s="6">
        <f t="shared" si="1"/>
        <v>4181</v>
      </c>
      <c r="D29" s="6">
        <f t="shared" si="0"/>
        <v>1.6180340557275541</v>
      </c>
    </row>
    <row r="30" spans="2:4" ht="18.5" thickBot="1" x14ac:dyDescent="0.6">
      <c r="B30" s="7">
        <v>20</v>
      </c>
      <c r="C30" s="7">
        <f t="shared" si="1"/>
        <v>6765</v>
      </c>
      <c r="D30" s="7">
        <f t="shared" si="0"/>
        <v>1.6180339631667064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75EC-6914-4F19-936C-2F86A9658E52}">
  <dimension ref="H10:I18"/>
  <sheetViews>
    <sheetView workbookViewId="0">
      <selection activeCell="H11" sqref="H11"/>
    </sheetView>
  </sheetViews>
  <sheetFormatPr defaultRowHeight="18" x14ac:dyDescent="0.55000000000000004"/>
  <cols>
    <col min="9" max="9" width="14.4140625" customWidth="1"/>
  </cols>
  <sheetData>
    <row r="10" spans="8:9" ht="18.5" thickBot="1" x14ac:dyDescent="0.6"/>
    <row r="11" spans="8:9" ht="18.5" thickBot="1" x14ac:dyDescent="0.6">
      <c r="H11" s="8" t="s">
        <v>4</v>
      </c>
      <c r="I11" s="12"/>
    </row>
    <row r="15" spans="8:9" ht="18.5" thickBot="1" x14ac:dyDescent="0.6"/>
    <row r="16" spans="8:9" ht="18.5" thickBot="1" x14ac:dyDescent="0.6">
      <c r="H16" s="13" t="s">
        <v>4</v>
      </c>
      <c r="I16" s="5">
        <f>(1+SQRT(5))/2</f>
        <v>1.6180339887498949</v>
      </c>
    </row>
    <row r="17" spans="8:9" ht="18.5" thickBot="1" x14ac:dyDescent="0.6">
      <c r="H17" s="8" t="s">
        <v>0</v>
      </c>
      <c r="I17" s="4">
        <v>1</v>
      </c>
    </row>
    <row r="18" spans="8:9" ht="18.5" thickBot="1" x14ac:dyDescent="0.6">
      <c r="H18" s="14" t="s">
        <v>1</v>
      </c>
      <c r="I18" s="3">
        <f>(I16^I17-(-I16)^(-I17))/(SQRT(5))</f>
        <v>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3A2A-E1E7-4BB7-BB89-D651DC941A00}">
  <sheetPr>
    <tabColor rgb="FFFF0000"/>
  </sheetPr>
  <dimension ref="H10:I18"/>
  <sheetViews>
    <sheetView workbookViewId="0">
      <selection activeCell="H11" sqref="H11"/>
    </sheetView>
  </sheetViews>
  <sheetFormatPr defaultRowHeight="18" x14ac:dyDescent="0.55000000000000004"/>
  <cols>
    <col min="9" max="9" width="14.4140625" customWidth="1"/>
  </cols>
  <sheetData>
    <row r="10" spans="8:9" ht="18.5" thickBot="1" x14ac:dyDescent="0.6"/>
    <row r="11" spans="8:9" ht="18.5" thickBot="1" x14ac:dyDescent="0.6">
      <c r="H11" s="8" t="s">
        <v>4</v>
      </c>
      <c r="I11" s="12">
        <f>(1+SQRT(5))/2</f>
        <v>1.6180339887498949</v>
      </c>
    </row>
    <row r="15" spans="8:9" ht="18.5" thickBot="1" x14ac:dyDescent="0.6"/>
    <row r="16" spans="8:9" ht="18.5" thickBot="1" x14ac:dyDescent="0.6">
      <c r="H16" s="13" t="s">
        <v>4</v>
      </c>
      <c r="I16" s="5">
        <f>(1+SQRT(5))/2</f>
        <v>1.6180339887498949</v>
      </c>
    </row>
    <row r="17" spans="8:9" ht="18.5" thickBot="1" x14ac:dyDescent="0.6">
      <c r="H17" s="8" t="s">
        <v>0</v>
      </c>
      <c r="I17" s="4">
        <v>1</v>
      </c>
    </row>
    <row r="18" spans="8:9" ht="18.5" thickBot="1" x14ac:dyDescent="0.6">
      <c r="H18" s="14" t="s">
        <v>1</v>
      </c>
      <c r="I18" s="3">
        <f>(I16^I17-(-I16)^(-I17))/(SQRT(5))</f>
        <v>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1F1F-4A13-4807-A577-274334EA9562}">
  <dimension ref="B6:G112"/>
  <sheetViews>
    <sheetView workbookViewId="0">
      <selection activeCell="B7" sqref="B7"/>
    </sheetView>
  </sheetViews>
  <sheetFormatPr defaultRowHeight="18" x14ac:dyDescent="0.55000000000000004"/>
  <sheetData>
    <row r="6" spans="2:7" ht="18.5" thickBot="1" x14ac:dyDescent="0.6"/>
    <row r="7" spans="2:7" ht="18.5" thickBot="1" x14ac:dyDescent="0.6">
      <c r="B7" s="13" t="s">
        <v>0</v>
      </c>
      <c r="C7" s="8" t="s">
        <v>5</v>
      </c>
      <c r="D7" s="9" t="s">
        <v>6</v>
      </c>
      <c r="F7" s="8" t="s">
        <v>13</v>
      </c>
      <c r="G7" s="4">
        <v>1</v>
      </c>
    </row>
    <row r="8" spans="2:7" x14ac:dyDescent="0.55000000000000004">
      <c r="B8" s="19">
        <v>0</v>
      </c>
      <c r="C8" s="20">
        <f>COS(2*PI()*B8/$G$7)</f>
        <v>1</v>
      </c>
      <c r="D8" s="21">
        <f>SIN(2*PI()*B8/$G$7)</f>
        <v>0</v>
      </c>
    </row>
    <row r="9" spans="2:7" x14ac:dyDescent="0.55000000000000004">
      <c r="B9" s="19">
        <v>1</v>
      </c>
      <c r="C9" s="20">
        <f t="shared" ref="C9:C72" si="0">COS(2*PI()*B9/$G$7)</f>
        <v>1</v>
      </c>
      <c r="D9" s="21">
        <f t="shared" ref="D9:D72" si="1">SIN(2*PI()*B9/$G$7)</f>
        <v>-2.45029690981724E-16</v>
      </c>
    </row>
    <row r="10" spans="2:7" x14ac:dyDescent="0.55000000000000004">
      <c r="B10" s="19">
        <v>2</v>
      </c>
      <c r="C10" s="20">
        <f t="shared" si="0"/>
        <v>1</v>
      </c>
      <c r="D10" s="21">
        <f t="shared" si="1"/>
        <v>-4.90059381963448E-16</v>
      </c>
    </row>
    <row r="11" spans="2:7" x14ac:dyDescent="0.55000000000000004">
      <c r="B11" s="19">
        <v>3</v>
      </c>
      <c r="C11" s="20">
        <f t="shared" si="0"/>
        <v>1</v>
      </c>
      <c r="D11" s="21">
        <f t="shared" si="1"/>
        <v>-7.3508907294517201E-16</v>
      </c>
    </row>
    <row r="12" spans="2:7" x14ac:dyDescent="0.55000000000000004">
      <c r="B12" s="19">
        <v>4</v>
      </c>
      <c r="C12" s="20">
        <f t="shared" si="0"/>
        <v>1</v>
      </c>
      <c r="D12" s="21">
        <f t="shared" si="1"/>
        <v>-9.8011876392689601E-16</v>
      </c>
    </row>
    <row r="13" spans="2:7" x14ac:dyDescent="0.55000000000000004">
      <c r="B13" s="19">
        <v>5</v>
      </c>
      <c r="C13" s="20">
        <f t="shared" si="0"/>
        <v>1</v>
      </c>
      <c r="D13" s="21">
        <f t="shared" si="1"/>
        <v>-1.22514845490862E-15</v>
      </c>
    </row>
    <row r="14" spans="2:7" x14ac:dyDescent="0.55000000000000004">
      <c r="B14" s="19">
        <v>6</v>
      </c>
      <c r="C14" s="20">
        <f t="shared" si="0"/>
        <v>1</v>
      </c>
      <c r="D14" s="21">
        <f t="shared" si="1"/>
        <v>-1.470178145890344E-15</v>
      </c>
    </row>
    <row r="15" spans="2:7" x14ac:dyDescent="0.55000000000000004">
      <c r="B15" s="19">
        <v>7</v>
      </c>
      <c r="C15" s="20">
        <f t="shared" si="0"/>
        <v>1</v>
      </c>
      <c r="D15" s="21">
        <f t="shared" si="1"/>
        <v>-1.715207836872068E-15</v>
      </c>
    </row>
    <row r="16" spans="2:7" x14ac:dyDescent="0.55000000000000004">
      <c r="B16" s="19">
        <v>8</v>
      </c>
      <c r="C16" s="20">
        <f t="shared" si="0"/>
        <v>1</v>
      </c>
      <c r="D16" s="21">
        <f t="shared" si="1"/>
        <v>-1.960237527853792E-15</v>
      </c>
    </row>
    <row r="17" spans="2:4" x14ac:dyDescent="0.55000000000000004">
      <c r="B17" s="19">
        <v>9</v>
      </c>
      <c r="C17" s="20">
        <f t="shared" si="0"/>
        <v>1</v>
      </c>
      <c r="D17" s="21">
        <f t="shared" si="1"/>
        <v>-2.205267218835516E-15</v>
      </c>
    </row>
    <row r="18" spans="2:4" x14ac:dyDescent="0.55000000000000004">
      <c r="B18" s="19">
        <v>10</v>
      </c>
      <c r="C18" s="20">
        <f t="shared" si="0"/>
        <v>1</v>
      </c>
      <c r="D18" s="21">
        <f t="shared" si="1"/>
        <v>-2.45029690981724E-15</v>
      </c>
    </row>
    <row r="19" spans="2:4" x14ac:dyDescent="0.55000000000000004">
      <c r="B19" s="19">
        <v>11</v>
      </c>
      <c r="C19" s="20">
        <f t="shared" si="0"/>
        <v>1</v>
      </c>
      <c r="D19" s="21">
        <f t="shared" si="1"/>
        <v>-9.8007539583999659E-15</v>
      </c>
    </row>
    <row r="20" spans="2:4" x14ac:dyDescent="0.55000000000000004">
      <c r="B20" s="19">
        <v>12</v>
      </c>
      <c r="C20" s="20">
        <f t="shared" si="0"/>
        <v>1</v>
      </c>
      <c r="D20" s="21">
        <f t="shared" si="1"/>
        <v>-2.940356291780688E-15</v>
      </c>
    </row>
    <row r="21" spans="2:4" x14ac:dyDescent="0.55000000000000004">
      <c r="B21" s="19">
        <v>13</v>
      </c>
      <c r="C21" s="20">
        <f t="shared" si="0"/>
        <v>1</v>
      </c>
      <c r="D21" s="21">
        <f t="shared" si="1"/>
        <v>3.9200413748385898E-15</v>
      </c>
    </row>
    <row r="22" spans="2:4" x14ac:dyDescent="0.55000000000000004">
      <c r="B22" s="19">
        <v>14</v>
      </c>
      <c r="C22" s="20">
        <f t="shared" si="0"/>
        <v>1</v>
      </c>
      <c r="D22" s="21">
        <f t="shared" si="1"/>
        <v>-3.430415673744136E-15</v>
      </c>
    </row>
    <row r="23" spans="2:4" x14ac:dyDescent="0.55000000000000004">
      <c r="B23" s="19">
        <v>15</v>
      </c>
      <c r="C23" s="20">
        <f t="shared" si="0"/>
        <v>1</v>
      </c>
      <c r="D23" s="21">
        <f t="shared" si="1"/>
        <v>-1.0780872722326862E-14</v>
      </c>
    </row>
    <row r="24" spans="2:4" x14ac:dyDescent="0.55000000000000004">
      <c r="B24" s="19">
        <v>16</v>
      </c>
      <c r="C24" s="20">
        <f t="shared" si="0"/>
        <v>1</v>
      </c>
      <c r="D24" s="21">
        <f t="shared" si="1"/>
        <v>-3.920475055707584E-15</v>
      </c>
    </row>
    <row r="25" spans="2:4" x14ac:dyDescent="0.55000000000000004">
      <c r="B25" s="19">
        <v>17</v>
      </c>
      <c r="C25" s="20">
        <f t="shared" si="0"/>
        <v>1</v>
      </c>
      <c r="D25" s="21">
        <f t="shared" si="1"/>
        <v>2.9399226109116938E-15</v>
      </c>
    </row>
    <row r="26" spans="2:4" x14ac:dyDescent="0.55000000000000004">
      <c r="B26" s="19">
        <v>18</v>
      </c>
      <c r="C26" s="20">
        <f t="shared" si="0"/>
        <v>1</v>
      </c>
      <c r="D26" s="21">
        <f t="shared" si="1"/>
        <v>-4.410534437671032E-15</v>
      </c>
    </row>
    <row r="27" spans="2:4" x14ac:dyDescent="0.55000000000000004">
      <c r="B27" s="19">
        <v>19</v>
      </c>
      <c r="C27" s="20">
        <f t="shared" si="0"/>
        <v>1</v>
      </c>
      <c r="D27" s="21">
        <f t="shared" si="1"/>
        <v>-1.1760991486253758E-14</v>
      </c>
    </row>
    <row r="28" spans="2:4" x14ac:dyDescent="0.55000000000000004">
      <c r="B28" s="19">
        <v>20</v>
      </c>
      <c r="C28" s="20">
        <f t="shared" si="0"/>
        <v>1</v>
      </c>
      <c r="D28" s="21">
        <f t="shared" si="1"/>
        <v>-4.90059381963448E-15</v>
      </c>
    </row>
    <row r="29" spans="2:4" x14ac:dyDescent="0.55000000000000004">
      <c r="B29" s="19">
        <v>21</v>
      </c>
      <c r="C29" s="20">
        <f t="shared" si="0"/>
        <v>1</v>
      </c>
      <c r="D29" s="21">
        <f t="shared" si="1"/>
        <v>1.9598038469847978E-15</v>
      </c>
    </row>
    <row r="30" spans="2:4" x14ac:dyDescent="0.55000000000000004">
      <c r="B30" s="19">
        <v>22</v>
      </c>
      <c r="C30" s="20">
        <f t="shared" si="0"/>
        <v>1</v>
      </c>
      <c r="D30" s="21">
        <f t="shared" si="1"/>
        <v>-1.9601507916799932E-14</v>
      </c>
    </row>
    <row r="31" spans="2:4" x14ac:dyDescent="0.55000000000000004">
      <c r="B31" s="19">
        <v>23</v>
      </c>
      <c r="C31" s="20">
        <f t="shared" si="0"/>
        <v>1</v>
      </c>
      <c r="D31" s="21">
        <f t="shared" si="1"/>
        <v>-1.2741110250180654E-14</v>
      </c>
    </row>
    <row r="32" spans="2:4" x14ac:dyDescent="0.55000000000000004">
      <c r="B32" s="19">
        <v>24</v>
      </c>
      <c r="C32" s="20">
        <f t="shared" si="0"/>
        <v>1</v>
      </c>
      <c r="D32" s="21">
        <f t="shared" si="1"/>
        <v>-5.8807125835613761E-15</v>
      </c>
    </row>
    <row r="33" spans="2:4" x14ac:dyDescent="0.55000000000000004">
      <c r="B33" s="19">
        <v>25</v>
      </c>
      <c r="C33" s="20">
        <f t="shared" si="0"/>
        <v>1</v>
      </c>
      <c r="D33" s="21">
        <f t="shared" si="1"/>
        <v>9.7968508305790181E-16</v>
      </c>
    </row>
    <row r="34" spans="2:4" x14ac:dyDescent="0.55000000000000004">
      <c r="B34" s="19">
        <v>26</v>
      </c>
      <c r="C34" s="20">
        <f t="shared" si="0"/>
        <v>1</v>
      </c>
      <c r="D34" s="21">
        <f t="shared" si="1"/>
        <v>7.8400827496771797E-15</v>
      </c>
    </row>
    <row r="35" spans="2:4" x14ac:dyDescent="0.55000000000000004">
      <c r="B35" s="19">
        <v>27</v>
      </c>
      <c r="C35" s="20">
        <f t="shared" si="0"/>
        <v>1</v>
      </c>
      <c r="D35" s="21">
        <f t="shared" si="1"/>
        <v>-1.372122901410755E-14</v>
      </c>
    </row>
    <row r="36" spans="2:4" x14ac:dyDescent="0.55000000000000004">
      <c r="B36" s="19">
        <v>28</v>
      </c>
      <c r="C36" s="20">
        <f t="shared" si="0"/>
        <v>1</v>
      </c>
      <c r="D36" s="21">
        <f t="shared" si="1"/>
        <v>-6.8608313474882721E-15</v>
      </c>
    </row>
    <row r="37" spans="2:4" x14ac:dyDescent="0.55000000000000004">
      <c r="B37" s="19">
        <v>29</v>
      </c>
      <c r="C37" s="20">
        <f t="shared" si="0"/>
        <v>1</v>
      </c>
      <c r="D37" s="21">
        <f t="shared" si="1"/>
        <v>-4.3368086899420177E-19</v>
      </c>
    </row>
    <row r="38" spans="2:4" x14ac:dyDescent="0.55000000000000004">
      <c r="B38" s="19">
        <v>30</v>
      </c>
      <c r="C38" s="20">
        <f t="shared" si="0"/>
        <v>1</v>
      </c>
      <c r="D38" s="21">
        <f t="shared" si="1"/>
        <v>-2.1561745444653724E-14</v>
      </c>
    </row>
    <row r="39" spans="2:4" x14ac:dyDescent="0.55000000000000004">
      <c r="B39" s="19">
        <v>31</v>
      </c>
      <c r="C39" s="20">
        <f t="shared" si="0"/>
        <v>1</v>
      </c>
      <c r="D39" s="21">
        <f t="shared" si="1"/>
        <v>-1.4701347778034446E-14</v>
      </c>
    </row>
    <row r="40" spans="2:4" x14ac:dyDescent="0.55000000000000004">
      <c r="B40" s="19">
        <v>32</v>
      </c>
      <c r="C40" s="20">
        <f t="shared" si="0"/>
        <v>1</v>
      </c>
      <c r="D40" s="21">
        <f t="shared" si="1"/>
        <v>-7.8409501114151681E-15</v>
      </c>
    </row>
    <row r="41" spans="2:4" x14ac:dyDescent="0.55000000000000004">
      <c r="B41" s="19">
        <v>33</v>
      </c>
      <c r="C41" s="20">
        <f t="shared" si="0"/>
        <v>1</v>
      </c>
      <c r="D41" s="21">
        <f t="shared" si="1"/>
        <v>-9.8055244479589021E-16</v>
      </c>
    </row>
    <row r="42" spans="2:4" x14ac:dyDescent="0.55000000000000004">
      <c r="B42" s="19">
        <v>34</v>
      </c>
      <c r="C42" s="20">
        <f t="shared" si="0"/>
        <v>1</v>
      </c>
      <c r="D42" s="21">
        <f t="shared" si="1"/>
        <v>5.8798452218233876E-15</v>
      </c>
    </row>
    <row r="43" spans="2:4" x14ac:dyDescent="0.55000000000000004">
      <c r="B43" s="19">
        <v>35</v>
      </c>
      <c r="C43" s="20">
        <f t="shared" si="0"/>
        <v>1</v>
      </c>
      <c r="D43" s="21">
        <f t="shared" si="1"/>
        <v>-1.5681466541961342E-14</v>
      </c>
    </row>
    <row r="44" spans="2:4" x14ac:dyDescent="0.55000000000000004">
      <c r="B44" s="19">
        <v>36</v>
      </c>
      <c r="C44" s="20">
        <f t="shared" si="0"/>
        <v>1</v>
      </c>
      <c r="D44" s="21">
        <f t="shared" si="1"/>
        <v>-8.8210688753420641E-15</v>
      </c>
    </row>
    <row r="45" spans="2:4" x14ac:dyDescent="0.55000000000000004">
      <c r="B45" s="19">
        <v>37</v>
      </c>
      <c r="C45" s="20">
        <f t="shared" si="0"/>
        <v>1</v>
      </c>
      <c r="D45" s="21">
        <f t="shared" si="1"/>
        <v>-1.9606712087227862E-15</v>
      </c>
    </row>
    <row r="46" spans="2:4" x14ac:dyDescent="0.55000000000000004">
      <c r="B46" s="19">
        <v>38</v>
      </c>
      <c r="C46" s="20">
        <f t="shared" si="0"/>
        <v>1</v>
      </c>
      <c r="D46" s="21">
        <f t="shared" si="1"/>
        <v>-2.3521982972507516E-14</v>
      </c>
    </row>
    <row r="47" spans="2:4" x14ac:dyDescent="0.55000000000000004">
      <c r="B47" s="19">
        <v>39</v>
      </c>
      <c r="C47" s="20">
        <f t="shared" si="0"/>
        <v>1</v>
      </c>
      <c r="D47" s="21">
        <f t="shared" si="1"/>
        <v>-1.6661585305888238E-14</v>
      </c>
    </row>
    <row r="48" spans="2:4" x14ac:dyDescent="0.55000000000000004">
      <c r="B48" s="19">
        <v>40</v>
      </c>
      <c r="C48" s="20">
        <f t="shared" si="0"/>
        <v>1</v>
      </c>
      <c r="D48" s="21">
        <f t="shared" si="1"/>
        <v>-9.8011876392689601E-15</v>
      </c>
    </row>
    <row r="49" spans="2:4" x14ac:dyDescent="0.55000000000000004">
      <c r="B49" s="19">
        <v>41</v>
      </c>
      <c r="C49" s="20">
        <f t="shared" si="0"/>
        <v>1</v>
      </c>
      <c r="D49" s="21">
        <f t="shared" si="1"/>
        <v>-3.136249940305369E-14</v>
      </c>
    </row>
    <row r="50" spans="2:4" x14ac:dyDescent="0.55000000000000004">
      <c r="B50" s="19">
        <v>42</v>
      </c>
      <c r="C50" s="20">
        <f t="shared" si="0"/>
        <v>1</v>
      </c>
      <c r="D50" s="21">
        <f t="shared" si="1"/>
        <v>3.9196076939695956E-15</v>
      </c>
    </row>
    <row r="51" spans="2:4" x14ac:dyDescent="0.55000000000000004">
      <c r="B51" s="19">
        <v>43</v>
      </c>
      <c r="C51" s="20">
        <f t="shared" si="0"/>
        <v>1</v>
      </c>
      <c r="D51" s="21">
        <f t="shared" si="1"/>
        <v>-1.7641704069815134E-14</v>
      </c>
    </row>
    <row r="52" spans="2:4" x14ac:dyDescent="0.55000000000000004">
      <c r="B52" s="19">
        <v>44</v>
      </c>
      <c r="C52" s="20">
        <f t="shared" si="0"/>
        <v>1</v>
      </c>
      <c r="D52" s="21">
        <f t="shared" si="1"/>
        <v>-3.9203015833599864E-14</v>
      </c>
    </row>
    <row r="53" spans="2:4" x14ac:dyDescent="0.55000000000000004">
      <c r="B53" s="19">
        <v>45</v>
      </c>
      <c r="C53" s="20">
        <f t="shared" si="0"/>
        <v>1</v>
      </c>
      <c r="D53" s="21">
        <f t="shared" si="1"/>
        <v>-3.9209087365765782E-15</v>
      </c>
    </row>
    <row r="54" spans="2:4" x14ac:dyDescent="0.55000000000000004">
      <c r="B54" s="19">
        <v>46</v>
      </c>
      <c r="C54" s="20">
        <f t="shared" si="0"/>
        <v>1</v>
      </c>
      <c r="D54" s="21">
        <f t="shared" si="1"/>
        <v>-2.5482220500361308E-14</v>
      </c>
    </row>
    <row r="55" spans="2:4" x14ac:dyDescent="0.55000000000000004">
      <c r="B55" s="19">
        <v>47</v>
      </c>
      <c r="C55" s="20">
        <f t="shared" si="0"/>
        <v>1</v>
      </c>
      <c r="D55" s="21">
        <f t="shared" si="1"/>
        <v>9.7998865966619775E-15</v>
      </c>
    </row>
    <row r="56" spans="2:4" x14ac:dyDescent="0.55000000000000004">
      <c r="B56" s="19">
        <v>48</v>
      </c>
      <c r="C56" s="20">
        <f t="shared" si="0"/>
        <v>1</v>
      </c>
      <c r="D56" s="21">
        <f t="shared" si="1"/>
        <v>-1.1761425167122752E-14</v>
      </c>
    </row>
    <row r="57" spans="2:4" x14ac:dyDescent="0.55000000000000004">
      <c r="B57" s="19">
        <v>49</v>
      </c>
      <c r="C57" s="20">
        <f t="shared" si="0"/>
        <v>1</v>
      </c>
      <c r="D57" s="21">
        <f t="shared" si="1"/>
        <v>-3.3322736930907482E-14</v>
      </c>
    </row>
    <row r="58" spans="2:4" x14ac:dyDescent="0.55000000000000004">
      <c r="B58" s="19">
        <v>50</v>
      </c>
      <c r="C58" s="20">
        <f t="shared" si="0"/>
        <v>1</v>
      </c>
      <c r="D58" s="21">
        <f t="shared" si="1"/>
        <v>1.9593701661158036E-15</v>
      </c>
    </row>
    <row r="59" spans="2:4" x14ac:dyDescent="0.55000000000000004">
      <c r="B59" s="19">
        <v>51</v>
      </c>
      <c r="C59" s="20">
        <f t="shared" si="0"/>
        <v>1</v>
      </c>
      <c r="D59" s="21">
        <f t="shared" si="1"/>
        <v>-1.9601941597668926E-14</v>
      </c>
    </row>
    <row r="60" spans="2:4" x14ac:dyDescent="0.55000000000000004">
      <c r="B60" s="19">
        <v>52</v>
      </c>
      <c r="C60" s="20">
        <f t="shared" si="0"/>
        <v>1</v>
      </c>
      <c r="D60" s="21">
        <f t="shared" si="1"/>
        <v>1.5680165499354359E-14</v>
      </c>
    </row>
    <row r="61" spans="2:4" x14ac:dyDescent="0.55000000000000004">
      <c r="B61" s="19">
        <v>53</v>
      </c>
      <c r="C61" s="20">
        <f t="shared" si="0"/>
        <v>1</v>
      </c>
      <c r="D61" s="21">
        <f t="shared" si="1"/>
        <v>-5.8811462644303703E-15</v>
      </c>
    </row>
    <row r="62" spans="2:4" x14ac:dyDescent="0.55000000000000004">
      <c r="B62" s="19">
        <v>54</v>
      </c>
      <c r="C62" s="20">
        <f t="shared" si="0"/>
        <v>1</v>
      </c>
      <c r="D62" s="21">
        <f t="shared" si="1"/>
        <v>-2.74424580282151E-14</v>
      </c>
    </row>
    <row r="63" spans="2:4" x14ac:dyDescent="0.55000000000000004">
      <c r="B63" s="19">
        <v>55</v>
      </c>
      <c r="C63" s="20">
        <f t="shared" si="0"/>
        <v>1</v>
      </c>
      <c r="D63" s="21">
        <f t="shared" si="1"/>
        <v>7.8396490688081855E-15</v>
      </c>
    </row>
    <row r="64" spans="2:4" x14ac:dyDescent="0.55000000000000004">
      <c r="B64" s="19">
        <v>56</v>
      </c>
      <c r="C64" s="20">
        <f t="shared" si="0"/>
        <v>1</v>
      </c>
      <c r="D64" s="21">
        <f t="shared" si="1"/>
        <v>-1.3721662694976544E-14</v>
      </c>
    </row>
    <row r="65" spans="2:4" x14ac:dyDescent="0.55000000000000004">
      <c r="B65" s="19">
        <v>57</v>
      </c>
      <c r="C65" s="20">
        <f t="shared" si="0"/>
        <v>1</v>
      </c>
      <c r="D65" s="21">
        <f t="shared" si="1"/>
        <v>-3.5282974458761274E-14</v>
      </c>
    </row>
    <row r="66" spans="2:4" x14ac:dyDescent="0.55000000000000004">
      <c r="B66" s="19">
        <v>58</v>
      </c>
      <c r="C66" s="20">
        <f t="shared" si="0"/>
        <v>1</v>
      </c>
      <c r="D66" s="21">
        <f t="shared" si="1"/>
        <v>-8.6736173798840355E-19</v>
      </c>
    </row>
    <row r="67" spans="2:4" x14ac:dyDescent="0.55000000000000004">
      <c r="B67" s="19">
        <v>59</v>
      </c>
      <c r="C67" s="20">
        <f t="shared" si="0"/>
        <v>1</v>
      </c>
      <c r="D67" s="21">
        <f t="shared" si="1"/>
        <v>-2.1562179125522718E-14</v>
      </c>
    </row>
    <row r="68" spans="2:4" x14ac:dyDescent="0.55000000000000004">
      <c r="B68" s="19">
        <v>60</v>
      </c>
      <c r="C68" s="20">
        <f t="shared" si="0"/>
        <v>1</v>
      </c>
      <c r="D68" s="21">
        <f t="shared" si="1"/>
        <v>-4.3123490889307448E-14</v>
      </c>
    </row>
    <row r="69" spans="2:4" x14ac:dyDescent="0.55000000000000004">
      <c r="B69" s="19">
        <v>61</v>
      </c>
      <c r="C69" s="20">
        <f t="shared" si="0"/>
        <v>1</v>
      </c>
      <c r="D69" s="21">
        <f t="shared" si="1"/>
        <v>-7.8413837922841623E-15</v>
      </c>
    </row>
    <row r="70" spans="2:4" x14ac:dyDescent="0.55000000000000004">
      <c r="B70" s="19">
        <v>62</v>
      </c>
      <c r="C70" s="20">
        <f t="shared" si="0"/>
        <v>1</v>
      </c>
      <c r="D70" s="21">
        <f t="shared" si="1"/>
        <v>-2.9402695556068892E-14</v>
      </c>
    </row>
    <row r="71" spans="2:4" x14ac:dyDescent="0.55000000000000004">
      <c r="B71" s="19">
        <v>63</v>
      </c>
      <c r="C71" s="20">
        <f t="shared" si="0"/>
        <v>1</v>
      </c>
      <c r="D71" s="21">
        <f t="shared" si="1"/>
        <v>5.8794115409543934E-15</v>
      </c>
    </row>
    <row r="72" spans="2:4" x14ac:dyDescent="0.55000000000000004">
      <c r="B72" s="19">
        <v>64</v>
      </c>
      <c r="C72" s="20">
        <f t="shared" si="0"/>
        <v>1</v>
      </c>
      <c r="D72" s="21">
        <f t="shared" si="1"/>
        <v>-1.5681900222830336E-14</v>
      </c>
    </row>
    <row r="73" spans="2:4" x14ac:dyDescent="0.55000000000000004">
      <c r="B73" s="19">
        <v>65</v>
      </c>
      <c r="C73" s="20">
        <f t="shared" ref="C73:C108" si="2">COS(2*PI()*B73/$G$7)</f>
        <v>1</v>
      </c>
      <c r="D73" s="21">
        <f t="shared" ref="D73:D108" si="3">SIN(2*PI()*B73/$G$7)</f>
        <v>-3.7243211986615066E-14</v>
      </c>
    </row>
    <row r="74" spans="2:4" x14ac:dyDescent="0.55000000000000004">
      <c r="B74" s="19">
        <v>66</v>
      </c>
      <c r="C74" s="20">
        <f t="shared" si="2"/>
        <v>1</v>
      </c>
      <c r="D74" s="21">
        <f t="shared" si="3"/>
        <v>-1.9611048895917804E-15</v>
      </c>
    </row>
    <row r="75" spans="2:4" x14ac:dyDescent="0.55000000000000004">
      <c r="B75" s="19">
        <v>67</v>
      </c>
      <c r="C75" s="20">
        <f t="shared" si="2"/>
        <v>1</v>
      </c>
      <c r="D75" s="21">
        <f t="shared" si="3"/>
        <v>-2.352241665337651E-14</v>
      </c>
    </row>
    <row r="76" spans="2:4" x14ac:dyDescent="0.55000000000000004">
      <c r="B76" s="19">
        <v>68</v>
      </c>
      <c r="C76" s="20">
        <f t="shared" si="2"/>
        <v>1</v>
      </c>
      <c r="D76" s="21">
        <f t="shared" si="3"/>
        <v>1.1759690443646775E-14</v>
      </c>
    </row>
    <row r="77" spans="2:4" x14ac:dyDescent="0.55000000000000004">
      <c r="B77" s="19">
        <v>69</v>
      </c>
      <c r="C77" s="20">
        <f t="shared" si="2"/>
        <v>1</v>
      </c>
      <c r="D77" s="21">
        <f t="shared" si="3"/>
        <v>-9.8016213201379543E-15</v>
      </c>
    </row>
    <row r="78" spans="2:4" x14ac:dyDescent="0.55000000000000004">
      <c r="B78" s="19">
        <v>70</v>
      </c>
      <c r="C78" s="20">
        <f t="shared" si="2"/>
        <v>1</v>
      </c>
      <c r="D78" s="21">
        <f t="shared" si="3"/>
        <v>-3.1362933083922684E-14</v>
      </c>
    </row>
    <row r="79" spans="2:4" x14ac:dyDescent="0.55000000000000004">
      <c r="B79" s="19">
        <v>71</v>
      </c>
      <c r="C79" s="20">
        <f t="shared" si="2"/>
        <v>1</v>
      </c>
      <c r="D79" s="21">
        <f t="shared" si="3"/>
        <v>3.9191740131006014E-15</v>
      </c>
    </row>
    <row r="80" spans="2:4" x14ac:dyDescent="0.55000000000000004">
      <c r="B80" s="19">
        <v>72</v>
      </c>
      <c r="C80" s="20">
        <f t="shared" si="2"/>
        <v>1</v>
      </c>
      <c r="D80" s="21">
        <f t="shared" si="3"/>
        <v>-1.7642137750684128E-14</v>
      </c>
    </row>
    <row r="81" spans="2:4" x14ac:dyDescent="0.55000000000000004">
      <c r="B81" s="19">
        <v>73</v>
      </c>
      <c r="C81" s="20">
        <f t="shared" si="2"/>
        <v>1</v>
      </c>
      <c r="D81" s="21">
        <f t="shared" si="3"/>
        <v>-3.9203449514468858E-14</v>
      </c>
    </row>
    <row r="82" spans="2:4" x14ac:dyDescent="0.55000000000000004">
      <c r="B82" s="19">
        <v>74</v>
      </c>
      <c r="C82" s="20">
        <f t="shared" si="2"/>
        <v>1</v>
      </c>
      <c r="D82" s="21">
        <f t="shared" si="3"/>
        <v>-3.9213424174455724E-15</v>
      </c>
    </row>
    <row r="83" spans="2:4" x14ac:dyDescent="0.55000000000000004">
      <c r="B83" s="19">
        <v>75</v>
      </c>
      <c r="C83" s="20">
        <f t="shared" si="2"/>
        <v>1</v>
      </c>
      <c r="D83" s="21">
        <f t="shared" si="3"/>
        <v>-2.5482654181230302E-14</v>
      </c>
    </row>
    <row r="84" spans="2:4" x14ac:dyDescent="0.55000000000000004">
      <c r="B84" s="19">
        <v>76</v>
      </c>
      <c r="C84" s="20">
        <f t="shared" si="2"/>
        <v>1</v>
      </c>
      <c r="D84" s="21">
        <f t="shared" si="3"/>
        <v>-4.7043965945015032E-14</v>
      </c>
    </row>
    <row r="85" spans="2:4" x14ac:dyDescent="0.55000000000000004">
      <c r="B85" s="19">
        <v>77</v>
      </c>
      <c r="C85" s="20">
        <f t="shared" si="2"/>
        <v>1</v>
      </c>
      <c r="D85" s="21">
        <f t="shared" si="3"/>
        <v>-1.1761858847991746E-14</v>
      </c>
    </row>
    <row r="86" spans="2:4" x14ac:dyDescent="0.55000000000000004">
      <c r="B86" s="19">
        <v>78</v>
      </c>
      <c r="C86" s="20">
        <f t="shared" si="2"/>
        <v>1</v>
      </c>
      <c r="D86" s="21">
        <f t="shared" si="3"/>
        <v>-3.3323170611776476E-14</v>
      </c>
    </row>
    <row r="87" spans="2:4" x14ac:dyDescent="0.55000000000000004">
      <c r="B87" s="19">
        <v>79</v>
      </c>
      <c r="C87" s="20">
        <f t="shared" si="2"/>
        <v>1</v>
      </c>
      <c r="D87" s="21">
        <f t="shared" si="3"/>
        <v>1.9589364852468094E-15</v>
      </c>
    </row>
    <row r="88" spans="2:4" x14ac:dyDescent="0.55000000000000004">
      <c r="B88" s="19">
        <v>80</v>
      </c>
      <c r="C88" s="20">
        <f t="shared" si="2"/>
        <v>1</v>
      </c>
      <c r="D88" s="21">
        <f t="shared" si="3"/>
        <v>-1.960237527853792E-14</v>
      </c>
    </row>
    <row r="89" spans="2:4" x14ac:dyDescent="0.55000000000000004">
      <c r="B89" s="19">
        <v>81</v>
      </c>
      <c r="C89" s="20">
        <f t="shared" si="2"/>
        <v>1</v>
      </c>
      <c r="D89" s="21">
        <f t="shared" si="3"/>
        <v>-4.116368704232265E-14</v>
      </c>
    </row>
    <row r="90" spans="2:4" x14ac:dyDescent="0.55000000000000004">
      <c r="B90" s="19">
        <v>82</v>
      </c>
      <c r="C90" s="20">
        <f t="shared" si="2"/>
        <v>1</v>
      </c>
      <c r="D90" s="21">
        <f t="shared" si="3"/>
        <v>-6.2724998806107379E-14</v>
      </c>
    </row>
    <row r="91" spans="2:4" x14ac:dyDescent="0.55000000000000004">
      <c r="B91" s="19">
        <v>83</v>
      </c>
      <c r="C91" s="20">
        <f t="shared" si="2"/>
        <v>1</v>
      </c>
      <c r="D91" s="21">
        <f t="shared" si="3"/>
        <v>2.9400527151723921E-14</v>
      </c>
    </row>
    <row r="92" spans="2:4" x14ac:dyDescent="0.55000000000000004">
      <c r="B92" s="19">
        <v>84</v>
      </c>
      <c r="C92" s="20">
        <f t="shared" si="2"/>
        <v>1</v>
      </c>
      <c r="D92" s="21">
        <f t="shared" si="3"/>
        <v>7.8392153879391913E-15</v>
      </c>
    </row>
    <row r="93" spans="2:4" x14ac:dyDescent="0.55000000000000004">
      <c r="B93" s="19">
        <v>85</v>
      </c>
      <c r="C93" s="20">
        <f t="shared" si="2"/>
        <v>1</v>
      </c>
      <c r="D93" s="21">
        <f t="shared" si="3"/>
        <v>-1.3722096375845538E-14</v>
      </c>
    </row>
    <row r="94" spans="2:4" x14ac:dyDescent="0.55000000000000004">
      <c r="B94" s="19">
        <v>86</v>
      </c>
      <c r="C94" s="20">
        <f t="shared" si="2"/>
        <v>1</v>
      </c>
      <c r="D94" s="21">
        <f t="shared" si="3"/>
        <v>-3.5283408139630268E-14</v>
      </c>
    </row>
    <row r="95" spans="2:4" x14ac:dyDescent="0.55000000000000004">
      <c r="B95" s="19">
        <v>87</v>
      </c>
      <c r="C95" s="20">
        <f t="shared" si="2"/>
        <v>1</v>
      </c>
      <c r="D95" s="21">
        <f t="shared" si="3"/>
        <v>-5.6844719903414997E-14</v>
      </c>
    </row>
    <row r="96" spans="2:4" x14ac:dyDescent="0.55000000000000004">
      <c r="B96" s="19">
        <v>88</v>
      </c>
      <c r="C96" s="20">
        <f t="shared" si="2"/>
        <v>1</v>
      </c>
      <c r="D96" s="21">
        <f t="shared" si="3"/>
        <v>-7.8406031667199727E-14</v>
      </c>
    </row>
    <row r="97" spans="2:4" x14ac:dyDescent="0.55000000000000004">
      <c r="B97" s="19">
        <v>89</v>
      </c>
      <c r="C97" s="20">
        <f t="shared" si="2"/>
        <v>1</v>
      </c>
      <c r="D97" s="21">
        <f t="shared" si="3"/>
        <v>1.3719494290631573E-14</v>
      </c>
    </row>
    <row r="98" spans="2:4" x14ac:dyDescent="0.55000000000000004">
      <c r="B98" s="19">
        <v>90</v>
      </c>
      <c r="C98" s="20">
        <f t="shared" si="2"/>
        <v>1</v>
      </c>
      <c r="D98" s="21">
        <f t="shared" si="3"/>
        <v>-7.8418174731531565E-15</v>
      </c>
    </row>
    <row r="99" spans="2:4" x14ac:dyDescent="0.55000000000000004">
      <c r="B99" s="19">
        <v>91</v>
      </c>
      <c r="C99" s="20">
        <f t="shared" si="2"/>
        <v>1</v>
      </c>
      <c r="D99" s="21">
        <f t="shared" si="3"/>
        <v>-2.9403129236937886E-14</v>
      </c>
    </row>
    <row r="100" spans="2:4" x14ac:dyDescent="0.55000000000000004">
      <c r="B100" s="19">
        <v>92</v>
      </c>
      <c r="C100" s="20">
        <f t="shared" si="2"/>
        <v>1</v>
      </c>
      <c r="D100" s="21">
        <f t="shared" si="3"/>
        <v>-5.0964441000722616E-14</v>
      </c>
    </row>
    <row r="101" spans="2:4" x14ac:dyDescent="0.55000000000000004">
      <c r="B101" s="19">
        <v>93</v>
      </c>
      <c r="C101" s="20">
        <f t="shared" si="2"/>
        <v>1</v>
      </c>
      <c r="D101" s="21">
        <f t="shared" si="3"/>
        <v>-7.2525752764507345E-14</v>
      </c>
    </row>
    <row r="102" spans="2:4" x14ac:dyDescent="0.55000000000000004">
      <c r="B102" s="19">
        <v>94</v>
      </c>
      <c r="C102" s="20">
        <f t="shared" si="2"/>
        <v>1</v>
      </c>
      <c r="D102" s="21">
        <f t="shared" si="3"/>
        <v>1.9599773193323955E-14</v>
      </c>
    </row>
    <row r="103" spans="2:4" x14ac:dyDescent="0.55000000000000004">
      <c r="B103" s="19">
        <v>95</v>
      </c>
      <c r="C103" s="20">
        <f t="shared" si="2"/>
        <v>1</v>
      </c>
      <c r="D103" s="21">
        <f t="shared" si="3"/>
        <v>-1.9615385704607746E-15</v>
      </c>
    </row>
    <row r="104" spans="2:4" x14ac:dyDescent="0.55000000000000004">
      <c r="B104" s="19">
        <v>96</v>
      </c>
      <c r="C104" s="20">
        <f t="shared" si="2"/>
        <v>1</v>
      </c>
      <c r="D104" s="21">
        <f t="shared" si="3"/>
        <v>-2.3522850334245504E-14</v>
      </c>
    </row>
    <row r="105" spans="2:4" x14ac:dyDescent="0.55000000000000004">
      <c r="B105" s="19">
        <v>97</v>
      </c>
      <c r="C105" s="20">
        <f t="shared" si="2"/>
        <v>1</v>
      </c>
      <c r="D105" s="21">
        <f t="shared" si="3"/>
        <v>-4.5084162098030234E-14</v>
      </c>
    </row>
    <row r="106" spans="2:4" x14ac:dyDescent="0.55000000000000004">
      <c r="B106" s="19">
        <v>98</v>
      </c>
      <c r="C106" s="20">
        <f t="shared" si="2"/>
        <v>1</v>
      </c>
      <c r="D106" s="21">
        <f t="shared" si="3"/>
        <v>-6.6645473861814963E-14</v>
      </c>
    </row>
    <row r="107" spans="2:4" x14ac:dyDescent="0.55000000000000004">
      <c r="B107" s="19">
        <v>99</v>
      </c>
      <c r="C107" s="20">
        <f t="shared" si="2"/>
        <v>1</v>
      </c>
      <c r="D107" s="21">
        <f t="shared" si="3"/>
        <v>2.5480052096016337E-14</v>
      </c>
    </row>
    <row r="108" spans="2:4" ht="18.5" thickBot="1" x14ac:dyDescent="0.6">
      <c r="B108" s="22">
        <v>100</v>
      </c>
      <c r="C108" s="23">
        <f t="shared" si="2"/>
        <v>1</v>
      </c>
      <c r="D108" s="24">
        <f t="shared" si="3"/>
        <v>3.9187403322316072E-15</v>
      </c>
    </row>
    <row r="109" spans="2:4" x14ac:dyDescent="0.55000000000000004">
      <c r="C109" s="25">
        <v>1</v>
      </c>
      <c r="D109" s="26">
        <v>1</v>
      </c>
    </row>
    <row r="110" spans="2:4" x14ac:dyDescent="0.55000000000000004">
      <c r="C110" s="19">
        <f>-C109</f>
        <v>-1</v>
      </c>
      <c r="D110" s="20">
        <f>D109</f>
        <v>1</v>
      </c>
    </row>
    <row r="111" spans="2:4" x14ac:dyDescent="0.55000000000000004">
      <c r="C111" s="19">
        <f>C110</f>
        <v>-1</v>
      </c>
      <c r="D111" s="20">
        <f>-D110</f>
        <v>-1</v>
      </c>
    </row>
    <row r="112" spans="2:4" ht="18.5" thickBot="1" x14ac:dyDescent="0.6">
      <c r="C112" s="22">
        <f>-C111</f>
        <v>1</v>
      </c>
      <c r="D112" s="23">
        <f>D111</f>
        <v>-1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017A-123D-402B-96B3-3E415B086F1D}">
  <dimension ref="B7:F1016"/>
  <sheetViews>
    <sheetView workbookViewId="0">
      <selection activeCell="B8" sqref="B8"/>
    </sheetView>
  </sheetViews>
  <sheetFormatPr defaultRowHeight="18" x14ac:dyDescent="0.55000000000000004"/>
  <cols>
    <col min="2" max="2" width="12.58203125" customWidth="1"/>
  </cols>
  <sheetData>
    <row r="7" spans="2:6" ht="18.5" thickBot="1" x14ac:dyDescent="0.6"/>
    <row r="8" spans="2:6" ht="18.5" thickBot="1" x14ac:dyDescent="0.6">
      <c r="B8" s="15" t="s">
        <v>7</v>
      </c>
      <c r="C8" s="5">
        <f>(E8^(E9+1)-(-1/E8)^(E9+1))/(E8^(E9)-(-1/E8)^(E9))</f>
        <v>1.6180257510729619</v>
      </c>
      <c r="D8" s="15" t="s">
        <v>4</v>
      </c>
      <c r="E8" s="16">
        <f>(1+SQRT(5))/2</f>
        <v>1.6180339887498949</v>
      </c>
    </row>
    <row r="9" spans="2:6" ht="18.5" thickBot="1" x14ac:dyDescent="0.6">
      <c r="B9" s="17" t="s">
        <v>14</v>
      </c>
      <c r="C9" s="3">
        <v>0.5</v>
      </c>
      <c r="D9" s="15" t="s">
        <v>0</v>
      </c>
      <c r="E9" s="4">
        <v>13</v>
      </c>
    </row>
    <row r="10" spans="2:6" ht="18.5" thickBot="1" x14ac:dyDescent="0.6"/>
    <row r="11" spans="2:6" ht="18.5" thickBot="1" x14ac:dyDescent="0.6">
      <c r="B11" s="13" t="s">
        <v>0</v>
      </c>
      <c r="C11" s="8" t="s">
        <v>5</v>
      </c>
      <c r="D11" s="8" t="s">
        <v>6</v>
      </c>
      <c r="E11" s="27"/>
      <c r="F11" s="27"/>
    </row>
    <row r="12" spans="2:6" x14ac:dyDescent="0.55000000000000004">
      <c r="B12" s="1">
        <v>0</v>
      </c>
      <c r="C12" s="6">
        <f>B12^$C$9*COS(2*PI()*B12/$C$8)</f>
        <v>0</v>
      </c>
      <c r="D12" s="6">
        <f>B12^$C$9*SIN(2*PI()*B12/$C$8)</f>
        <v>0</v>
      </c>
      <c r="E12" s="18"/>
      <c r="F12" s="18"/>
    </row>
    <row r="13" spans="2:6" x14ac:dyDescent="0.55000000000000004">
      <c r="B13" s="1">
        <v>1</v>
      </c>
      <c r="C13" s="6">
        <f t="shared" ref="C13:C76" si="0">B13^$C$9*COS(2*PI()*B13/$C$8)</f>
        <v>-0.73735552334087584</v>
      </c>
      <c r="D13" s="6">
        <f t="shared" ref="D13:D76" si="1">B13^$C$9*SIN(2*PI()*B13/$C$8)</f>
        <v>-0.67550487207621468</v>
      </c>
      <c r="E13" s="18"/>
      <c r="F13" s="18"/>
    </row>
    <row r="14" spans="2:6" x14ac:dyDescent="0.55000000000000004">
      <c r="B14" s="1">
        <v>2</v>
      </c>
      <c r="C14" s="6">
        <f t="shared" si="0"/>
        <v>0.12358294097527481</v>
      </c>
      <c r="D14" s="6">
        <f t="shared" si="1"/>
        <v>1.4088034840601091</v>
      </c>
      <c r="E14" s="18"/>
      <c r="F14" s="18"/>
    </row>
    <row r="15" spans="2:6" x14ac:dyDescent="0.55000000000000004">
      <c r="B15" s="1">
        <v>3</v>
      </c>
      <c r="C15" s="6">
        <f t="shared" si="0"/>
        <v>1.0539285445432787</v>
      </c>
      <c r="D15" s="6">
        <f t="shared" si="1"/>
        <v>-1.3744943153745257</v>
      </c>
      <c r="E15" s="18"/>
      <c r="F15" s="18"/>
    </row>
    <row r="16" spans="2:6" x14ac:dyDescent="0.55000000000000004">
      <c r="B16" s="1">
        <v>4</v>
      </c>
      <c r="C16" s="6">
        <f t="shared" si="0"/>
        <v>-1.9694545133998036</v>
      </c>
      <c r="D16" s="6">
        <f t="shared" si="1"/>
        <v>0.34820815563272389</v>
      </c>
      <c r="E16" s="18"/>
      <c r="F16" s="18"/>
    </row>
    <row r="17" spans="2:6" x14ac:dyDescent="0.55000000000000004">
      <c r="B17" s="1">
        <v>5</v>
      </c>
      <c r="C17" s="6">
        <f t="shared" si="0"/>
        <v>1.8865755491669742</v>
      </c>
      <c r="D17" s="6">
        <f t="shared" si="1"/>
        <v>1.2003469070586763</v>
      </c>
      <c r="E17" s="18"/>
      <c r="F17" s="18"/>
    </row>
    <row r="18" spans="2:6" x14ac:dyDescent="0.55000000000000004">
      <c r="B18" s="1">
        <v>6</v>
      </c>
      <c r="C18" s="6">
        <f t="shared" si="0"/>
        <v>-0.63561747771129995</v>
      </c>
      <c r="D18" s="6">
        <f t="shared" si="1"/>
        <v>-2.3655845835708185</v>
      </c>
      <c r="E18" s="18"/>
      <c r="F18" s="18"/>
    </row>
    <row r="19" spans="2:6" x14ac:dyDescent="0.55000000000000004">
      <c r="B19" s="1">
        <v>7</v>
      </c>
      <c r="C19" s="6">
        <f t="shared" si="0"/>
        <v>-1.2197702921609488</v>
      </c>
      <c r="D19" s="6">
        <f t="shared" si="1"/>
        <v>2.3477990617515792</v>
      </c>
      <c r="E19" s="18"/>
      <c r="F19" s="18"/>
    </row>
    <row r="20" spans="2:6" x14ac:dyDescent="0.55000000000000004">
      <c r="B20" s="1">
        <v>8</v>
      </c>
      <c r="C20" s="6">
        <f t="shared" si="0"/>
        <v>2.656955258155286</v>
      </c>
      <c r="D20" s="6">
        <f t="shared" si="1"/>
        <v>-0.96983955176151548</v>
      </c>
      <c r="E20" s="18"/>
      <c r="F20" s="18"/>
    </row>
    <row r="21" spans="2:6" x14ac:dyDescent="0.55000000000000004">
      <c r="B21" s="1">
        <v>9</v>
      </c>
      <c r="C21" s="6">
        <f t="shared" si="0"/>
        <v>-2.7728329512312522</v>
      </c>
      <c r="D21" s="6">
        <f t="shared" si="1"/>
        <v>-1.1451626192668818</v>
      </c>
      <c r="E21" s="18"/>
      <c r="F21" s="18"/>
    </row>
    <row r="22" spans="2:6" x14ac:dyDescent="0.55000000000000004">
      <c r="B22" s="1">
        <v>10</v>
      </c>
      <c r="C22" s="6">
        <f t="shared" si="0"/>
        <v>1.3397524399021596</v>
      </c>
      <c r="D22" s="6">
        <f t="shared" si="1"/>
        <v>2.8644481841667533</v>
      </c>
      <c r="E22" s="18"/>
      <c r="F22" s="18"/>
    </row>
    <row r="23" spans="2:6" x14ac:dyDescent="0.55000000000000004">
      <c r="B23" s="1">
        <v>11</v>
      </c>
      <c r="C23" s="6">
        <f t="shared" si="0"/>
        <v>0.99330047494844265</v>
      </c>
      <c r="D23" s="6">
        <f t="shared" si="1"/>
        <v>-3.1643884348270515</v>
      </c>
      <c r="E23" s="18"/>
      <c r="F23" s="18"/>
    </row>
    <row r="24" spans="2:6" x14ac:dyDescent="0.55000000000000004">
      <c r="B24" s="1">
        <v>12</v>
      </c>
      <c r="C24" s="6">
        <f t="shared" si="0"/>
        <v>-2.9975915379430251</v>
      </c>
      <c r="D24" s="6">
        <f t="shared" si="1"/>
        <v>1.7362157042407971</v>
      </c>
      <c r="E24" s="18"/>
      <c r="F24" s="18"/>
    </row>
    <row r="25" spans="2:6" x14ac:dyDescent="0.55000000000000004">
      <c r="B25" s="1">
        <v>13</v>
      </c>
      <c r="C25" s="6">
        <f t="shared" si="0"/>
        <v>3.5212554902848647</v>
      </c>
      <c r="D25" s="6">
        <f t="shared" si="1"/>
        <v>0.77508694488985952</v>
      </c>
      <c r="E25" s="18"/>
      <c r="F25" s="18"/>
    </row>
    <row r="26" spans="2:6" x14ac:dyDescent="0.55000000000000004">
      <c r="B26" s="1">
        <v>14</v>
      </c>
      <c r="C26" s="6">
        <f t="shared" si="0"/>
        <v>-2.1510899864580915</v>
      </c>
      <c r="D26" s="6">
        <f t="shared" si="1"/>
        <v>-3.0615048375202232</v>
      </c>
      <c r="E26" s="18"/>
      <c r="F26" s="18"/>
    </row>
    <row r="27" spans="2:6" x14ac:dyDescent="0.55000000000000004">
      <c r="B27" s="1">
        <v>15</v>
      </c>
      <c r="C27" s="6">
        <f t="shared" si="0"/>
        <v>-0.49885876202730806</v>
      </c>
      <c r="D27" s="6">
        <f t="shared" si="1"/>
        <v>3.8407212780347111</v>
      </c>
      <c r="E27" s="18"/>
      <c r="F27" s="18"/>
    </row>
    <row r="28" spans="2:6" x14ac:dyDescent="0.55000000000000004">
      <c r="B28" s="1">
        <v>16</v>
      </c>
      <c r="C28" s="6">
        <f t="shared" si="0"/>
        <v>3.0594112438390226</v>
      </c>
      <c r="D28" s="6">
        <f t="shared" si="1"/>
        <v>-2.576820296619724</v>
      </c>
      <c r="E28" s="18"/>
      <c r="F28" s="18"/>
    </row>
    <row r="29" spans="2:6" x14ac:dyDescent="0.55000000000000004">
      <c r="B29" s="1">
        <v>17</v>
      </c>
      <c r="C29" s="6">
        <f t="shared" si="0"/>
        <v>-4.1195272272358787</v>
      </c>
      <c r="D29" s="6">
        <f t="shared" si="1"/>
        <v>-0.17174231878680726</v>
      </c>
      <c r="E29" s="18"/>
      <c r="F29" s="18"/>
    </row>
    <row r="30" spans="2:6" x14ac:dyDescent="0.55000000000000004">
      <c r="B30" s="1">
        <v>18</v>
      </c>
      <c r="C30" s="6">
        <f t="shared" si="0"/>
        <v>3.006243338130854</v>
      </c>
      <c r="D30" s="6">
        <f t="shared" si="1"/>
        <v>2.9937436416540177</v>
      </c>
      <c r="E30" s="18"/>
      <c r="F30" s="18"/>
    </row>
    <row r="31" spans="2:6" x14ac:dyDescent="0.55000000000000004">
      <c r="B31" s="1">
        <v>19</v>
      </c>
      <c r="C31" s="6">
        <f t="shared" si="0"/>
        <v>-0.19970822681545161</v>
      </c>
      <c r="D31" s="6">
        <f t="shared" si="1"/>
        <v>-4.3543216032055128</v>
      </c>
      <c r="E31" s="18"/>
      <c r="F31" s="18"/>
    </row>
    <row r="32" spans="2:6" x14ac:dyDescent="0.55000000000000004">
      <c r="B32" s="1">
        <v>20</v>
      </c>
      <c r="C32" s="6">
        <f t="shared" si="0"/>
        <v>-2.8666958536384768</v>
      </c>
      <c r="D32" s="6">
        <f t="shared" si="1"/>
        <v>3.4324998008349499</v>
      </c>
      <c r="E32" s="18"/>
      <c r="F32" s="18"/>
    </row>
    <row r="33" spans="2:6" x14ac:dyDescent="0.55000000000000004">
      <c r="B33" s="1">
        <v>21</v>
      </c>
      <c r="C33" s="6">
        <f t="shared" si="0"/>
        <v>4.5419039132678956</v>
      </c>
      <c r="D33" s="6">
        <f t="shared" si="1"/>
        <v>-0.60918703420360087</v>
      </c>
      <c r="E33" s="18"/>
      <c r="F33" s="18"/>
    </row>
    <row r="34" spans="2:6" x14ac:dyDescent="0.55000000000000004">
      <c r="B34" s="1">
        <v>22</v>
      </c>
      <c r="C34" s="6">
        <f t="shared" si="0"/>
        <v>-3.849001365829543</v>
      </c>
      <c r="D34" s="6">
        <f t="shared" si="1"/>
        <v>-2.6805201894114346</v>
      </c>
      <c r="E34" s="18"/>
      <c r="F34" s="18"/>
    </row>
    <row r="35" spans="2:6" x14ac:dyDescent="0.55000000000000004">
      <c r="B35" s="1">
        <v>23</v>
      </c>
      <c r="C35" s="6">
        <f t="shared" si="0"/>
        <v>1.0504679971672488</v>
      </c>
      <c r="D35" s="6">
        <f t="shared" si="1"/>
        <v>4.6793714307508676</v>
      </c>
      <c r="E35" s="18"/>
      <c r="F35" s="18"/>
    </row>
    <row r="36" spans="2:6" x14ac:dyDescent="0.55000000000000004">
      <c r="B36" s="1">
        <v>24</v>
      </c>
      <c r="C36" s="6">
        <f t="shared" si="0"/>
        <v>2.4376954728174218</v>
      </c>
      <c r="D36" s="6">
        <f t="shared" si="1"/>
        <v>-4.2494282888178549</v>
      </c>
      <c r="E36" s="18"/>
      <c r="F36" s="18"/>
    </row>
    <row r="37" spans="2:6" x14ac:dyDescent="0.55000000000000004">
      <c r="B37" s="1">
        <v>25</v>
      </c>
      <c r="C37" s="6">
        <f t="shared" si="0"/>
        <v>-4.7642144118922465</v>
      </c>
      <c r="D37" s="6">
        <f t="shared" si="1"/>
        <v>1.5173203476913557</v>
      </c>
      <c r="E37" s="18"/>
      <c r="F37" s="18"/>
    </row>
    <row r="38" spans="2:6" x14ac:dyDescent="0.55000000000000004">
      <c r="B38" s="1">
        <v>26</v>
      </c>
      <c r="C38" s="6">
        <f t="shared" si="0"/>
        <v>4.6277447749594351</v>
      </c>
      <c r="D38" s="6">
        <f t="shared" si="1"/>
        <v>2.1410227224005909</v>
      </c>
      <c r="E38" s="18"/>
      <c r="F38" s="18"/>
    </row>
    <row r="39" spans="2:6" x14ac:dyDescent="0.55000000000000004">
      <c r="B39" s="1">
        <v>27</v>
      </c>
      <c r="C39" s="6">
        <f t="shared" si="0"/>
        <v>-2.0034732914302684</v>
      </c>
      <c r="D39" s="6">
        <f t="shared" si="1"/>
        <v>-4.7943815837421164</v>
      </c>
      <c r="E39" s="18"/>
      <c r="F39" s="18"/>
    </row>
    <row r="40" spans="2:6" x14ac:dyDescent="0.55000000000000004">
      <c r="B40" s="1">
        <v>28</v>
      </c>
      <c r="C40" s="6">
        <f t="shared" si="0"/>
        <v>-1.7936771761099206</v>
      </c>
      <c r="D40" s="6">
        <f t="shared" si="1"/>
        <v>4.9782248028692262</v>
      </c>
      <c r="E40" s="18"/>
      <c r="F40" s="18"/>
    </row>
    <row r="41" spans="2:6" x14ac:dyDescent="0.55000000000000004">
      <c r="B41" s="1">
        <v>29</v>
      </c>
      <c r="C41" s="6">
        <f t="shared" si="0"/>
        <v>4.7683266276127583</v>
      </c>
      <c r="D41" s="6">
        <f t="shared" si="1"/>
        <v>-2.5026108711501958</v>
      </c>
      <c r="E41" s="18"/>
      <c r="F41" s="18"/>
    </row>
    <row r="42" spans="2:6" x14ac:dyDescent="0.55000000000000004">
      <c r="B42" s="1">
        <v>30</v>
      </c>
      <c r="C42" s="6">
        <f t="shared" si="0"/>
        <v>-5.295483880435353</v>
      </c>
      <c r="D42" s="6">
        <f t="shared" si="1"/>
        <v>-1.3992321008500839</v>
      </c>
      <c r="E42" s="18"/>
      <c r="F42" s="18"/>
    </row>
    <row r="43" spans="2:6" x14ac:dyDescent="0.55000000000000004">
      <c r="B43" s="1">
        <v>31</v>
      </c>
      <c r="C43" s="6">
        <f t="shared" si="0"/>
        <v>3.0083862973307935</v>
      </c>
      <c r="D43" s="6">
        <f t="shared" si="1"/>
        <v>4.6850412896827613</v>
      </c>
      <c r="E43" s="18"/>
      <c r="F43" s="18"/>
    </row>
    <row r="44" spans="2:6" x14ac:dyDescent="0.55000000000000004">
      <c r="B44" s="1">
        <v>32</v>
      </c>
      <c r="C44" s="6">
        <f t="shared" si="0"/>
        <v>0.96166321347287798</v>
      </c>
      <c r="D44" s="6">
        <f t="shared" si="1"/>
        <v>-5.5745137782458682</v>
      </c>
      <c r="E44" s="18"/>
      <c r="F44" s="18"/>
    </row>
    <row r="45" spans="2:6" x14ac:dyDescent="0.55000000000000004">
      <c r="B45" s="1">
        <v>33</v>
      </c>
      <c r="C45" s="6">
        <f t="shared" si="0"/>
        <v>-4.5440782127867827</v>
      </c>
      <c r="D45" s="6">
        <f t="shared" si="1"/>
        <v>3.5144492023753133</v>
      </c>
      <c r="E45" s="18"/>
      <c r="F45" s="18"/>
    </row>
    <row r="46" spans="2:6" x14ac:dyDescent="0.55000000000000004">
      <c r="B46" s="1">
        <v>34</v>
      </c>
      <c r="C46" s="6">
        <f t="shared" si="0"/>
        <v>5.8107182008658711</v>
      </c>
      <c r="D46" s="6">
        <f t="shared" si="1"/>
        <v>0.4853390465706437</v>
      </c>
      <c r="E46" s="18"/>
      <c r="F46" s="18"/>
    </row>
    <row r="47" spans="2:6" x14ac:dyDescent="0.55000000000000004">
      <c r="B47" s="1">
        <v>35</v>
      </c>
      <c r="C47" s="6">
        <f t="shared" si="0"/>
        <v>-4.0144816062813726</v>
      </c>
      <c r="D47" s="6">
        <f t="shared" si="1"/>
        <v>-4.3455652604498454</v>
      </c>
      <c r="E47" s="18"/>
      <c r="F47" s="18"/>
    </row>
    <row r="48" spans="2:6" x14ac:dyDescent="0.55000000000000004">
      <c r="B48" s="1">
        <v>36</v>
      </c>
      <c r="C48" s="6">
        <f t="shared" si="0"/>
        <v>2.4999338704093273E-2</v>
      </c>
      <c r="D48" s="6">
        <f t="shared" si="1"/>
        <v>5.9999479191959963</v>
      </c>
      <c r="E48" s="18"/>
      <c r="F48" s="18"/>
    </row>
    <row r="49" spans="2:6" x14ac:dyDescent="0.55000000000000004">
      <c r="B49" s="1">
        <v>37</v>
      </c>
      <c r="C49" s="6">
        <f t="shared" si="0"/>
        <v>4.0902123925022416</v>
      </c>
      <c r="D49" s="6">
        <f t="shared" si="1"/>
        <v>-4.5022397297590775</v>
      </c>
      <c r="E49" s="18"/>
      <c r="F49" s="18"/>
    </row>
    <row r="50" spans="2:6" x14ac:dyDescent="0.55000000000000004">
      <c r="B50" s="1">
        <v>38</v>
      </c>
      <c r="C50" s="6">
        <f t="shared" si="0"/>
        <v>-6.1385342513244163</v>
      </c>
      <c r="D50" s="6">
        <f t="shared" si="1"/>
        <v>0.56426699825259208</v>
      </c>
      <c r="E50" s="18"/>
      <c r="F50" s="18"/>
    </row>
    <row r="51" spans="2:6" x14ac:dyDescent="0.55000000000000004">
      <c r="B51" s="1">
        <v>39</v>
      </c>
      <c r="C51" s="6">
        <f t="shared" si="0"/>
        <v>4.9715996018708433</v>
      </c>
      <c r="D51" s="6">
        <f t="shared" si="1"/>
        <v>3.7793117625670525</v>
      </c>
      <c r="E51" s="18"/>
      <c r="F51" s="18"/>
    </row>
    <row r="52" spans="2:6" x14ac:dyDescent="0.55000000000000004">
      <c r="B52" s="1">
        <v>40</v>
      </c>
      <c r="C52" s="6">
        <f t="shared" si="0"/>
        <v>-1.1270704689714564</v>
      </c>
      <c r="D52" s="6">
        <f t="shared" si="1"/>
        <v>-6.2233200269608879</v>
      </c>
      <c r="E52" s="18"/>
      <c r="F52" s="18"/>
    </row>
    <row r="53" spans="2:6" x14ac:dyDescent="0.55000000000000004">
      <c r="B53" s="1">
        <v>41</v>
      </c>
      <c r="C53" s="6">
        <f t="shared" si="0"/>
        <v>-3.4147314960002313</v>
      </c>
      <c r="D53" s="6">
        <f t="shared" si="1"/>
        <v>5.4166049154635623</v>
      </c>
      <c r="E53" s="18"/>
      <c r="F53" s="18"/>
    </row>
    <row r="54" spans="2:6" x14ac:dyDescent="0.55000000000000004">
      <c r="B54" s="1">
        <v>42</v>
      </c>
      <c r="C54" s="6">
        <f t="shared" si="0"/>
        <v>6.2516873479271347</v>
      </c>
      <c r="D54" s="6">
        <f t="shared" si="1"/>
        <v>-1.7077486067240069</v>
      </c>
      <c r="E54" s="18"/>
      <c r="F54" s="18"/>
    </row>
    <row r="55" spans="2:6" x14ac:dyDescent="0.55000000000000004">
      <c r="B55" s="1">
        <v>43</v>
      </c>
      <c r="C55" s="6">
        <f t="shared" si="0"/>
        <v>-5.8315159111663997</v>
      </c>
      <c r="D55" s="6">
        <f t="shared" si="1"/>
        <v>-2.9989034959153176</v>
      </c>
      <c r="E55" s="18"/>
      <c r="F55" s="18"/>
    </row>
    <row r="56" spans="2:6" x14ac:dyDescent="0.55000000000000004">
      <c r="B56" s="1">
        <v>44</v>
      </c>
      <c r="C56" s="6">
        <f t="shared" si="0"/>
        <v>2.3004178978888365</v>
      </c>
      <c r="D56" s="6">
        <f t="shared" si="1"/>
        <v>6.2215815911287944</v>
      </c>
      <c r="E56" s="18"/>
      <c r="F56" s="18"/>
    </row>
    <row r="57" spans="2:6" x14ac:dyDescent="0.55000000000000004">
      <c r="B57" s="1">
        <v>45</v>
      </c>
      <c r="C57" s="6">
        <f t="shared" si="0"/>
        <v>2.5348055727488341</v>
      </c>
      <c r="D57" s="6">
        <f t="shared" si="1"/>
        <v>-6.2108582907969696</v>
      </c>
      <c r="E57" s="18"/>
      <c r="F57" s="18"/>
    </row>
    <row r="58" spans="2:6" x14ac:dyDescent="0.55000000000000004">
      <c r="B58" s="1">
        <v>46</v>
      </c>
      <c r="C58" s="6">
        <f t="shared" si="0"/>
        <v>-6.1315312070007888</v>
      </c>
      <c r="D58" s="6">
        <f t="shared" si="1"/>
        <v>2.8990213965363294</v>
      </c>
      <c r="E58" s="18"/>
      <c r="F58" s="18"/>
    </row>
    <row r="59" spans="2:6" x14ac:dyDescent="0.55000000000000004">
      <c r="B59" s="1">
        <v>47</v>
      </c>
      <c r="C59" s="6">
        <f t="shared" si="0"/>
        <v>6.5494713152116883</v>
      </c>
      <c r="D59" s="6">
        <f t="shared" si="1"/>
        <v>2.0259381755668859</v>
      </c>
      <c r="E59" s="18"/>
      <c r="F59" s="18"/>
    </row>
    <row r="60" spans="2:6" x14ac:dyDescent="0.55000000000000004">
      <c r="B60" s="1">
        <v>48</v>
      </c>
      <c r="C60" s="6">
        <f t="shared" si="0"/>
        <v>-3.4973805360294294</v>
      </c>
      <c r="D60" s="6">
        <f t="shared" si="1"/>
        <v>-5.9806629554090822</v>
      </c>
      <c r="E60" s="18"/>
      <c r="F60" s="18"/>
    </row>
    <row r="61" spans="2:6" x14ac:dyDescent="0.55000000000000004">
      <c r="B61" s="1">
        <v>49</v>
      </c>
      <c r="C61" s="6">
        <f t="shared" si="0"/>
        <v>-1.4762960069375863</v>
      </c>
      <c r="D61" s="6">
        <f t="shared" si="1"/>
        <v>6.8425543549101704</v>
      </c>
      <c r="E61" s="18"/>
      <c r="F61" s="18"/>
    </row>
    <row r="62" spans="2:6" x14ac:dyDescent="0.55000000000000004">
      <c r="B62" s="1">
        <v>50</v>
      </c>
      <c r="C62" s="6">
        <f t="shared" si="0"/>
        <v>5.7687122985129093</v>
      </c>
      <c r="D62" s="6">
        <f t="shared" si="1"/>
        <v>-4.0892491263049635</v>
      </c>
      <c r="E62" s="18"/>
      <c r="F62" s="18"/>
    </row>
    <row r="63" spans="2:6" x14ac:dyDescent="0.55000000000000004">
      <c r="B63" s="1">
        <v>51</v>
      </c>
      <c r="C63" s="6">
        <f t="shared" si="0"/>
        <v>-7.0857112493896652</v>
      </c>
      <c r="D63" s="6">
        <f t="shared" si="1"/>
        <v>-0.89033481919599267</v>
      </c>
      <c r="E63" s="18"/>
      <c r="F63" s="18"/>
    </row>
    <row r="64" spans="2:6" x14ac:dyDescent="0.55000000000000004">
      <c r="B64" s="1">
        <v>52</v>
      </c>
      <c r="C64" s="6">
        <f t="shared" si="0"/>
        <v>4.6683688896263584</v>
      </c>
      <c r="D64" s="6">
        <f t="shared" si="1"/>
        <v>5.4960287399511252</v>
      </c>
      <c r="E64" s="18"/>
      <c r="F64" s="18"/>
    </row>
    <row r="65" spans="2:6" x14ac:dyDescent="0.55000000000000004">
      <c r="B65" s="1">
        <v>53</v>
      </c>
      <c r="C65" s="6">
        <f t="shared" si="0"/>
        <v>0.27293371294894619</v>
      </c>
      <c r="D65" s="6">
        <f t="shared" si="1"/>
        <v>-7.2749919029739063</v>
      </c>
      <c r="E65" s="18"/>
      <c r="F65" s="18"/>
    </row>
    <row r="66" spans="2:6" x14ac:dyDescent="0.55000000000000004">
      <c r="B66" s="1">
        <v>54</v>
      </c>
      <c r="C66" s="6">
        <f t="shared" si="0"/>
        <v>-5.1635759643270056</v>
      </c>
      <c r="D66" s="6">
        <f t="shared" si="1"/>
        <v>5.2285259166063662</v>
      </c>
      <c r="E66" s="18"/>
      <c r="F66" s="18"/>
    </row>
    <row r="67" spans="2:6" x14ac:dyDescent="0.55000000000000004">
      <c r="B67" s="1">
        <v>55</v>
      </c>
      <c r="C67" s="6">
        <f t="shared" si="0"/>
        <v>7.4069306067274168</v>
      </c>
      <c r="D67" s="6">
        <f t="shared" si="1"/>
        <v>-0.37064671470906457</v>
      </c>
      <c r="E67" s="18"/>
      <c r="F67" s="18"/>
    </row>
    <row r="68" spans="2:6" x14ac:dyDescent="0.55000000000000004">
      <c r="B68" s="1">
        <v>56</v>
      </c>
      <c r="C68" s="6">
        <f t="shared" si="0"/>
        <v>-5.7636074462708669</v>
      </c>
      <c r="D68" s="6">
        <f t="shared" si="1"/>
        <v>-4.772926691799384</v>
      </c>
      <c r="E68" s="18"/>
      <c r="F68" s="18"/>
    </row>
    <row r="69" spans="2:6" x14ac:dyDescent="0.55000000000000004">
      <c r="B69" s="1">
        <v>57</v>
      </c>
      <c r="C69" s="6">
        <f t="shared" si="0"/>
        <v>1.0348099969231772</v>
      </c>
      <c r="D69" s="6">
        <f t="shared" si="1"/>
        <v>7.4785806320630019</v>
      </c>
      <c r="E69" s="18"/>
      <c r="F69" s="18"/>
    </row>
    <row r="70" spans="2:6" x14ac:dyDescent="0.55000000000000004">
      <c r="B70" s="1">
        <v>58</v>
      </c>
      <c r="C70" s="6">
        <f t="shared" si="0"/>
        <v>4.3262522205440561</v>
      </c>
      <c r="D70" s="6">
        <f t="shared" si="1"/>
        <v>-6.2676583924331446</v>
      </c>
      <c r="E70" s="18"/>
      <c r="F70" s="18"/>
    </row>
    <row r="71" spans="2:6" x14ac:dyDescent="0.55000000000000004">
      <c r="B71" s="1">
        <v>59</v>
      </c>
      <c r="C71" s="6">
        <f t="shared" si="0"/>
        <v>-7.4875446942811985</v>
      </c>
      <c r="D71" s="6">
        <f t="shared" si="1"/>
        <v>1.7136727958223117</v>
      </c>
      <c r="E71" s="18"/>
      <c r="F71" s="18"/>
    </row>
    <row r="72" spans="2:6" x14ac:dyDescent="0.55000000000000004">
      <c r="B72" s="1">
        <v>60</v>
      </c>
      <c r="C72" s="6">
        <f t="shared" si="0"/>
        <v>6.7349370560666442</v>
      </c>
      <c r="D72" s="6">
        <f t="shared" si="1"/>
        <v>3.8263066854109282</v>
      </c>
      <c r="E72" s="18"/>
      <c r="F72" s="18"/>
    </row>
    <row r="73" spans="2:6" x14ac:dyDescent="0.55000000000000004">
      <c r="B73" s="1">
        <v>61</v>
      </c>
      <c r="C73" s="6">
        <f t="shared" si="0"/>
        <v>-2.4011168442144815</v>
      </c>
      <c r="D73" s="6">
        <f t="shared" si="1"/>
        <v>-7.4320009351741527</v>
      </c>
      <c r="E73" s="18"/>
      <c r="F73" s="18"/>
    </row>
    <row r="74" spans="2:6" x14ac:dyDescent="0.55000000000000004">
      <c r="B74" s="1">
        <v>62</v>
      </c>
      <c r="C74" s="6">
        <f t="shared" si="0"/>
        <v>-3.276406114512171</v>
      </c>
      <c r="D74" s="6">
        <f t="shared" si="1"/>
        <v>7.1599694812748513</v>
      </c>
      <c r="E74" s="18"/>
      <c r="F74" s="18"/>
    </row>
    <row r="75" spans="2:6" x14ac:dyDescent="0.55000000000000004">
      <c r="B75" s="1">
        <v>63</v>
      </c>
      <c r="C75" s="6">
        <f t="shared" si="0"/>
        <v>7.3107241239869216</v>
      </c>
      <c r="D75" s="6">
        <f t="shared" si="1"/>
        <v>-3.0908433772929467</v>
      </c>
      <c r="E75" s="18"/>
      <c r="F75" s="18"/>
    </row>
    <row r="76" spans="2:6" x14ac:dyDescent="0.55000000000000004">
      <c r="B76" s="1">
        <v>64</v>
      </c>
      <c r="C76" s="6">
        <f t="shared" si="0"/>
        <v>-7.5376019319265088</v>
      </c>
      <c r="D76" s="6">
        <f t="shared" si="1"/>
        <v>-2.6804024167683771</v>
      </c>
      <c r="E76" s="18"/>
      <c r="F76" s="18"/>
    </row>
    <row r="77" spans="2:6" x14ac:dyDescent="0.55000000000000004">
      <c r="B77" s="1">
        <v>65</v>
      </c>
      <c r="C77" s="6">
        <f t="shared" ref="C77:C140" si="2">B77^$C$9*COS(2*PI()*B77/$C$8)</f>
        <v>3.776429580401119</v>
      </c>
      <c r="D77" s="6">
        <f t="shared" ref="D77:D140" si="3">B77^$C$9*SIN(2*PI()*B77/$C$8)</f>
        <v>7.1231018260496191</v>
      </c>
      <c r="E77" s="18"/>
      <c r="F77" s="18"/>
    </row>
    <row r="78" spans="2:6" x14ac:dyDescent="0.55000000000000004">
      <c r="B78" s="1">
        <v>66</v>
      </c>
      <c r="C78" s="6">
        <f t="shared" si="2"/>
        <v>2.0426524825663588</v>
      </c>
      <c r="D78" s="6">
        <f t="shared" si="3"/>
        <v>-7.8630509877187933</v>
      </c>
      <c r="E78" s="18"/>
      <c r="F78" s="18"/>
    </row>
    <row r="79" spans="2:6" x14ac:dyDescent="0.55000000000000004">
      <c r="B79" s="1">
        <v>67</v>
      </c>
      <c r="C79" s="6">
        <f t="shared" si="2"/>
        <v>-6.8691453385771224</v>
      </c>
      <c r="D79" s="6">
        <f t="shared" si="3"/>
        <v>4.4513865612305787</v>
      </c>
      <c r="E79" s="18"/>
      <c r="F79" s="18"/>
    </row>
    <row r="80" spans="2:6" x14ac:dyDescent="0.55000000000000004">
      <c r="B80" s="1">
        <v>68</v>
      </c>
      <c r="C80" s="6">
        <f t="shared" si="2"/>
        <v>8.1319507827852497</v>
      </c>
      <c r="D80" s="6">
        <f t="shared" si="3"/>
        <v>1.3679826264826545</v>
      </c>
      <c r="E80" s="18"/>
      <c r="F80" s="18"/>
    </row>
    <row r="81" spans="2:6" x14ac:dyDescent="0.55000000000000004">
      <c r="B81" s="1">
        <v>69</v>
      </c>
      <c r="C81" s="6">
        <f t="shared" si="2"/>
        <v>-5.1092183408390532</v>
      </c>
      <c r="D81" s="6">
        <f t="shared" si="3"/>
        <v>-6.5494952435767013</v>
      </c>
      <c r="E81" s="18"/>
      <c r="F81" s="18"/>
    </row>
    <row r="82" spans="2:6" x14ac:dyDescent="0.55000000000000004">
      <c r="B82" s="1">
        <v>70</v>
      </c>
      <c r="C82" s="6">
        <f t="shared" si="2"/>
        <v>-0.66164864529818168</v>
      </c>
      <c r="D82" s="6">
        <f t="shared" si="3"/>
        <v>8.3403969372071902</v>
      </c>
      <c r="E82" s="18"/>
      <c r="F82" s="18"/>
    </row>
    <row r="83" spans="2:6" x14ac:dyDescent="0.55000000000000004">
      <c r="B83" s="1">
        <v>71</v>
      </c>
      <c r="C83" s="6">
        <f t="shared" si="2"/>
        <v>6.1654214784810462</v>
      </c>
      <c r="D83" s="6">
        <f t="shared" si="3"/>
        <v>-5.7434813478137627</v>
      </c>
      <c r="E83" s="18"/>
      <c r="F83" s="18"/>
    </row>
    <row r="84" spans="2:6" x14ac:dyDescent="0.55000000000000004">
      <c r="B84" s="1">
        <v>72</v>
      </c>
      <c r="C84" s="6">
        <f t="shared" si="2"/>
        <v>-8.4849867619997621</v>
      </c>
      <c r="D84" s="6">
        <f t="shared" si="3"/>
        <v>7.0708193929448881E-2</v>
      </c>
      <c r="E84" s="18"/>
      <c r="F84" s="18"/>
    </row>
    <row r="85" spans="2:6" x14ac:dyDescent="0.55000000000000004">
      <c r="B85" s="1">
        <v>73</v>
      </c>
      <c r="C85" s="6">
        <f t="shared" si="2"/>
        <v>6.3478438940062025</v>
      </c>
      <c r="D85" s="6">
        <f t="shared" si="3"/>
        <v>5.7188178758663195</v>
      </c>
      <c r="E85" s="18"/>
      <c r="F85" s="18"/>
    </row>
    <row r="86" spans="2:6" x14ac:dyDescent="0.55000000000000004">
      <c r="B86" s="1">
        <v>74</v>
      </c>
      <c r="C86" s="6">
        <f t="shared" si="2"/>
        <v>-0.8231088824334345</v>
      </c>
      <c r="D86" s="6">
        <f t="shared" si="3"/>
        <v>-8.5628553513217298</v>
      </c>
      <c r="E86" s="18"/>
      <c r="F86" s="18"/>
    </row>
    <row r="87" spans="2:6" x14ac:dyDescent="0.55000000000000004">
      <c r="B87" s="1">
        <v>75</v>
      </c>
      <c r="C87" s="6">
        <f t="shared" si="2"/>
        <v>-5.2121911742325731</v>
      </c>
      <c r="D87" s="6">
        <f t="shared" si="3"/>
        <v>6.9161451086029189</v>
      </c>
      <c r="E87" s="18"/>
      <c r="F87" s="18"/>
    </row>
    <row r="88" spans="2:6" x14ac:dyDescent="0.55000000000000004">
      <c r="B88" s="1">
        <v>76</v>
      </c>
      <c r="C88" s="6">
        <f t="shared" si="2"/>
        <v>8.5717072116878228</v>
      </c>
      <c r="D88" s="6">
        <f t="shared" si="3"/>
        <v>-1.5892877263412657</v>
      </c>
      <c r="E88" s="18"/>
      <c r="F88" s="18"/>
    </row>
    <row r="89" spans="2:6" x14ac:dyDescent="0.55000000000000004">
      <c r="B89" s="1">
        <v>77</v>
      </c>
      <c r="C89" s="6">
        <f t="shared" si="2"/>
        <v>-7.4424528099934797</v>
      </c>
      <c r="D89" s="6">
        <f t="shared" si="3"/>
        <v>-4.6486445520194559</v>
      </c>
      <c r="E89" s="18"/>
      <c r="F89" s="18"/>
    </row>
    <row r="90" spans="2:6" x14ac:dyDescent="0.55000000000000004">
      <c r="B90" s="1">
        <v>78</v>
      </c>
      <c r="C90" s="6">
        <f t="shared" si="2"/>
        <v>2.36274631085722</v>
      </c>
      <c r="D90" s="6">
        <f t="shared" si="3"/>
        <v>8.5098431166814468</v>
      </c>
      <c r="E90" s="18"/>
      <c r="F90" s="18"/>
    </row>
    <row r="91" spans="2:6" x14ac:dyDescent="0.55000000000000004">
      <c r="B91" s="1">
        <v>79</v>
      </c>
      <c r="C91" s="6">
        <f t="shared" si="2"/>
        <v>4.0318557865353108</v>
      </c>
      <c r="D91" s="6">
        <f t="shared" si="3"/>
        <v>-7.9211198019334184</v>
      </c>
      <c r="E91" s="18"/>
      <c r="F91" s="18"/>
    </row>
    <row r="92" spans="2:6" x14ac:dyDescent="0.55000000000000004">
      <c r="B92" s="1">
        <v>80</v>
      </c>
      <c r="C92" s="6">
        <f t="shared" si="2"/>
        <v>-8.3761819168461411</v>
      </c>
      <c r="D92" s="6">
        <f t="shared" si="3"/>
        <v>3.1368099234572235</v>
      </c>
      <c r="E92" s="18"/>
      <c r="F92" s="18"/>
    </row>
    <row r="93" spans="2:6" x14ac:dyDescent="0.55000000000000004">
      <c r="B93" s="1">
        <v>81</v>
      </c>
      <c r="C93" s="6">
        <f t="shared" si="2"/>
        <v>8.3468380919010237</v>
      </c>
      <c r="D93" s="6">
        <f t="shared" si="3"/>
        <v>3.3660501879190829</v>
      </c>
      <c r="E93" s="18"/>
      <c r="F93" s="18"/>
    </row>
    <row r="94" spans="2:6" x14ac:dyDescent="0.55000000000000004">
      <c r="B94" s="1">
        <v>82</v>
      </c>
      <c r="C94" s="6">
        <f t="shared" si="2"/>
        <v>-3.9046859632707909</v>
      </c>
      <c r="D94" s="6">
        <f t="shared" si="3"/>
        <v>-8.1702770778129725</v>
      </c>
      <c r="E94" s="18"/>
      <c r="F94" s="18"/>
    </row>
    <row r="95" spans="2:6" x14ac:dyDescent="0.55000000000000004">
      <c r="B95" s="1">
        <v>83</v>
      </c>
      <c r="C95" s="6">
        <f t="shared" si="2"/>
        <v>-2.655968505338445</v>
      </c>
      <c r="D95" s="6">
        <f t="shared" si="3"/>
        <v>8.7146905452029841</v>
      </c>
      <c r="E95" s="18"/>
      <c r="F95" s="18"/>
    </row>
    <row r="96" spans="2:6" x14ac:dyDescent="0.55000000000000004">
      <c r="B96" s="1">
        <v>84</v>
      </c>
      <c r="C96" s="6">
        <f t="shared" si="2"/>
        <v>7.8923277649891492</v>
      </c>
      <c r="D96" s="6">
        <f t="shared" si="3"/>
        <v>-4.6595238436970536</v>
      </c>
      <c r="E96" s="18"/>
      <c r="F96" s="18"/>
    </row>
    <row r="97" spans="2:6" x14ac:dyDescent="0.55000000000000004">
      <c r="B97" s="1">
        <v>85</v>
      </c>
      <c r="C97" s="6">
        <f t="shared" si="2"/>
        <v>-9.0201995082252235</v>
      </c>
      <c r="D97" s="6">
        <f t="shared" si="3"/>
        <v>-1.9068300479627009</v>
      </c>
      <c r="E97" s="18"/>
      <c r="F97" s="18"/>
    </row>
    <row r="98" spans="2:6" x14ac:dyDescent="0.55000000000000004">
      <c r="B98" s="1">
        <v>86</v>
      </c>
      <c r="C98" s="6">
        <f t="shared" si="2"/>
        <v>5.3944758794041245</v>
      </c>
      <c r="D98" s="6">
        <f t="shared" si="3"/>
        <v>7.5431843399539886</v>
      </c>
      <c r="E98" s="18"/>
      <c r="F98" s="18"/>
    </row>
    <row r="99" spans="2:6" x14ac:dyDescent="0.55000000000000004">
      <c r="B99" s="1">
        <v>87</v>
      </c>
      <c r="C99" s="6">
        <f t="shared" si="2"/>
        <v>1.1242913065411848</v>
      </c>
      <c r="D99" s="6">
        <f t="shared" si="3"/>
        <v>-9.2593719580777147</v>
      </c>
      <c r="E99" s="18"/>
      <c r="F99" s="18"/>
    </row>
    <row r="100" spans="2:6" x14ac:dyDescent="0.55000000000000004">
      <c r="B100" s="1">
        <v>88</v>
      </c>
      <c r="C100" s="6">
        <f t="shared" si="2"/>
        <v>-7.1243481817491077</v>
      </c>
      <c r="D100" s="6">
        <f t="shared" si="3"/>
        <v>6.1027586373056071</v>
      </c>
      <c r="E100" s="18"/>
      <c r="F100" s="18"/>
    </row>
    <row r="101" spans="2:6" x14ac:dyDescent="0.55000000000000004">
      <c r="B101" s="1">
        <v>89</v>
      </c>
      <c r="C101" s="6">
        <f t="shared" si="2"/>
        <v>9.4287407635935523</v>
      </c>
      <c r="D101" s="6">
        <f t="shared" si="3"/>
        <v>0.31440040227272603</v>
      </c>
      <c r="E101" s="18"/>
      <c r="F101" s="18"/>
    </row>
    <row r="102" spans="2:6" x14ac:dyDescent="0.55000000000000004">
      <c r="B102" s="1">
        <v>90</v>
      </c>
      <c r="C102" s="6">
        <f t="shared" si="2"/>
        <v>-6.7777142240805155</v>
      </c>
      <c r="D102" s="6">
        <f t="shared" si="3"/>
        <v>-6.6379657950833604</v>
      </c>
      <c r="E102" s="18"/>
      <c r="F102" s="18"/>
    </row>
    <row r="103" spans="2:6" x14ac:dyDescent="0.55000000000000004">
      <c r="B103" s="1">
        <v>91</v>
      </c>
      <c r="C103" s="6">
        <f t="shared" si="2"/>
        <v>0.5164522722165279</v>
      </c>
      <c r="D103" s="6">
        <f t="shared" si="3"/>
        <v>9.5254016739727252</v>
      </c>
      <c r="E103" s="18"/>
      <c r="F103" s="18"/>
    </row>
    <row r="104" spans="2:6" x14ac:dyDescent="0.55000000000000004">
      <c r="B104" s="1">
        <v>92</v>
      </c>
      <c r="C104" s="6">
        <f t="shared" si="2"/>
        <v>6.0868172167743664</v>
      </c>
      <c r="D104" s="6">
        <f t="shared" si="3"/>
        <v>-7.4128709802329045</v>
      </c>
      <c r="E104" s="18"/>
      <c r="F104" s="18"/>
    </row>
    <row r="105" spans="2:6" x14ac:dyDescent="0.55000000000000004">
      <c r="B105" s="1">
        <v>93</v>
      </c>
      <c r="C105" s="6">
        <f t="shared" si="2"/>
        <v>-9.5470456860732096</v>
      </c>
      <c r="D105" s="6">
        <f t="shared" si="3"/>
        <v>1.3615868198653047</v>
      </c>
      <c r="E105" s="18"/>
      <c r="F105" s="18"/>
    </row>
    <row r="106" spans="2:6" x14ac:dyDescent="0.55000000000000004">
      <c r="B106" s="1">
        <v>94</v>
      </c>
      <c r="C106" s="6">
        <f t="shared" si="2"/>
        <v>8.0020030527007577</v>
      </c>
      <c r="D106" s="6">
        <f t="shared" si="3"/>
        <v>5.4742987810830872</v>
      </c>
      <c r="E106" s="18"/>
      <c r="F106" s="18"/>
    </row>
    <row r="107" spans="2:6" x14ac:dyDescent="0.55000000000000004">
      <c r="B107" s="1">
        <v>95</v>
      </c>
      <c r="C107" s="6">
        <f t="shared" si="2"/>
        <v>-2.2140895824738012</v>
      </c>
      <c r="D107" s="6">
        <f t="shared" si="3"/>
        <v>-9.4919864791718371</v>
      </c>
      <c r="E107" s="18"/>
      <c r="F107" s="18"/>
    </row>
    <row r="108" spans="2:6" x14ac:dyDescent="0.55000000000000004">
      <c r="B108" s="1">
        <v>96</v>
      </c>
      <c r="C108" s="6">
        <f t="shared" si="2"/>
        <v>-4.8044003535328121</v>
      </c>
      <c r="D108" s="6">
        <f t="shared" si="3"/>
        <v>8.5391883245993458</v>
      </c>
      <c r="E108" s="18"/>
      <c r="F108" s="18"/>
    </row>
    <row r="109" spans="2:6" x14ac:dyDescent="0.55000000000000004">
      <c r="B109" s="1">
        <v>97</v>
      </c>
      <c r="C109" s="6">
        <f t="shared" si="2"/>
        <v>9.3591826466269321</v>
      </c>
      <c r="D109" s="6">
        <f t="shared" si="3"/>
        <v>-3.0668714004792066</v>
      </c>
      <c r="E109" s="18"/>
      <c r="F109" s="18"/>
    </row>
    <row r="110" spans="2:6" x14ac:dyDescent="0.55000000000000004">
      <c r="B110" s="1">
        <v>98</v>
      </c>
      <c r="C110" s="6">
        <f t="shared" si="2"/>
        <v>-9.0188641916876904</v>
      </c>
      <c r="D110" s="6">
        <f t="shared" si="3"/>
        <v>-4.0816771910445757</v>
      </c>
      <c r="E110" s="18"/>
      <c r="F110" s="18"/>
    </row>
    <row r="111" spans="2:6" x14ac:dyDescent="0.55000000000000004">
      <c r="B111" s="1">
        <v>99</v>
      </c>
      <c r="C111" s="6">
        <f t="shared" si="2"/>
        <v>3.9127279050393922</v>
      </c>
      <c r="D111" s="6">
        <f t="shared" si="3"/>
        <v>9.1482544969587529</v>
      </c>
      <c r="E111" s="18"/>
      <c r="F111" s="18"/>
    </row>
    <row r="112" spans="2:6" x14ac:dyDescent="0.55000000000000004">
      <c r="B112" s="1">
        <v>100</v>
      </c>
      <c r="C112" s="6">
        <f t="shared" si="2"/>
        <v>3.3112166332056376</v>
      </c>
      <c r="D112" s="6">
        <f t="shared" si="3"/>
        <v>-9.4358806906394435</v>
      </c>
      <c r="E112" s="18"/>
      <c r="F112" s="18"/>
    </row>
    <row r="113" spans="2:6" x14ac:dyDescent="0.55000000000000004">
      <c r="B113" s="1">
        <v>101</v>
      </c>
      <c r="C113" s="6">
        <f t="shared" si="2"/>
        <v>-8.8594952420507536</v>
      </c>
      <c r="D113" s="6">
        <f t="shared" si="3"/>
        <v>4.7444013380067309</v>
      </c>
      <c r="E113" s="18"/>
      <c r="F113" s="18"/>
    </row>
    <row r="114" spans="2:6" x14ac:dyDescent="0.55000000000000004">
      <c r="B114" s="1">
        <v>102</v>
      </c>
      <c r="C114" s="6">
        <f t="shared" si="2"/>
        <v>9.7855505039177615</v>
      </c>
      <c r="D114" s="6">
        <f t="shared" si="3"/>
        <v>2.4985998749849556</v>
      </c>
      <c r="E114" s="18"/>
      <c r="F114" s="18"/>
    </row>
    <row r="115" spans="2:6" x14ac:dyDescent="0.55000000000000004">
      <c r="B115" s="1">
        <v>103</v>
      </c>
      <c r="C115" s="6">
        <f t="shared" si="2"/>
        <v>-5.5546433792707335</v>
      </c>
      <c r="D115" s="6">
        <f t="shared" si="3"/>
        <v>-8.4938764371236175</v>
      </c>
      <c r="E115" s="18"/>
      <c r="F115" s="18"/>
    </row>
    <row r="116" spans="2:6" x14ac:dyDescent="0.55000000000000004">
      <c r="B116" s="1">
        <v>104</v>
      </c>
      <c r="C116" s="6">
        <f t="shared" si="2"/>
        <v>-1.649859114739872</v>
      </c>
      <c r="D116" s="6">
        <f t="shared" si="3"/>
        <v>10.063695389940504</v>
      </c>
      <c r="E116" s="18"/>
      <c r="F116" s="18"/>
    </row>
    <row r="117" spans="2:6" x14ac:dyDescent="0.55000000000000004">
      <c r="B117" s="1">
        <v>105</v>
      </c>
      <c r="C117" s="6">
        <f t="shared" si="2"/>
        <v>8.0530475854109458</v>
      </c>
      <c r="D117" s="6">
        <f t="shared" si="3"/>
        <v>-6.3362784493034194</v>
      </c>
      <c r="E117" s="18"/>
      <c r="F117" s="18"/>
    </row>
    <row r="118" spans="2:6" x14ac:dyDescent="0.55000000000000004">
      <c r="B118" s="1">
        <v>106</v>
      </c>
      <c r="C118" s="6">
        <f t="shared" si="2"/>
        <v>-10.266688615060369</v>
      </c>
      <c r="D118" s="6">
        <f t="shared" si="3"/>
        <v>-0.77143041253882416</v>
      </c>
      <c r="E118" s="18"/>
      <c r="F118" s="18"/>
    </row>
    <row r="119" spans="2:6" x14ac:dyDescent="0.55000000000000004">
      <c r="B119" s="1">
        <v>107</v>
      </c>
      <c r="C119" s="6">
        <f t="shared" si="2"/>
        <v>7.0822669474902558</v>
      </c>
      <c r="D119" s="6">
        <f t="shared" si="3"/>
        <v>7.5393298697223132</v>
      </c>
      <c r="E119" s="18"/>
      <c r="F119" s="18"/>
    </row>
    <row r="120" spans="2:6" x14ac:dyDescent="0.55000000000000004">
      <c r="B120" s="1">
        <v>108</v>
      </c>
      <c r="C120" s="6">
        <f t="shared" si="2"/>
        <v>-0.12989736757900883</v>
      </c>
      <c r="D120" s="6">
        <f t="shared" si="3"/>
        <v>-10.391492995421594</v>
      </c>
      <c r="E120" s="18"/>
      <c r="F120" s="18"/>
    </row>
    <row r="121" spans="2:6" x14ac:dyDescent="0.55000000000000004">
      <c r="B121" s="1">
        <v>109</v>
      </c>
      <c r="C121" s="6">
        <f t="shared" si="2"/>
        <v>-6.9557040228796811</v>
      </c>
      <c r="D121" s="6">
        <f t="shared" si="3"/>
        <v>7.7857678841650184</v>
      </c>
      <c r="E121" s="18"/>
      <c r="F121" s="18"/>
    </row>
    <row r="122" spans="2:6" x14ac:dyDescent="0.55000000000000004">
      <c r="B122" s="1">
        <v>110</v>
      </c>
      <c r="C122" s="6">
        <f t="shared" si="2"/>
        <v>10.435694191792804</v>
      </c>
      <c r="D122" s="6">
        <f t="shared" si="3"/>
        <v>-1.0470371222559129</v>
      </c>
      <c r="E122" s="18"/>
      <c r="F122" s="18"/>
    </row>
    <row r="123" spans="2:6" x14ac:dyDescent="0.55000000000000004">
      <c r="B123" s="1">
        <v>111</v>
      </c>
      <c r="C123" s="6">
        <f t="shared" si="2"/>
        <v>-8.4402003662093907</v>
      </c>
      <c r="D123" s="6">
        <f t="shared" si="3"/>
        <v>-6.3057923989169566</v>
      </c>
      <c r="E123" s="18"/>
      <c r="F123" s="18"/>
    </row>
    <row r="124" spans="2:6" x14ac:dyDescent="0.55000000000000004">
      <c r="B124" s="1">
        <v>112</v>
      </c>
      <c r="C124" s="6">
        <f t="shared" si="2"/>
        <v>1.9726611389673308</v>
      </c>
      <c r="D124" s="6">
        <f t="shared" si="3"/>
        <v>10.397528938685774</v>
      </c>
      <c r="E124" s="18"/>
      <c r="F124" s="18"/>
    </row>
    <row r="125" spans="2:6" x14ac:dyDescent="0.55000000000000004">
      <c r="B125" s="1">
        <v>113</v>
      </c>
      <c r="C125" s="6">
        <f t="shared" si="2"/>
        <v>5.5938353565861174</v>
      </c>
      <c r="D125" s="6">
        <f t="shared" si="3"/>
        <v>-9.0393034025530472</v>
      </c>
      <c r="E125" s="18"/>
      <c r="F125" s="18"/>
    </row>
    <row r="126" spans="2:6" x14ac:dyDescent="0.55000000000000004">
      <c r="B126" s="1">
        <v>114</v>
      </c>
      <c r="C126" s="6">
        <f t="shared" si="2"/>
        <v>-10.275907930167868</v>
      </c>
      <c r="D126" s="6">
        <f t="shared" si="3"/>
        <v>2.8992613215633303</v>
      </c>
      <c r="E126" s="18"/>
      <c r="F126" s="18"/>
    </row>
    <row r="127" spans="2:6" x14ac:dyDescent="0.55000000000000004">
      <c r="B127" s="1">
        <v>115</v>
      </c>
      <c r="C127" s="6">
        <f t="shared" si="2"/>
        <v>9.5771935069611782</v>
      </c>
      <c r="D127" s="6">
        <f t="shared" si="3"/>
        <v>4.8246621156533482</v>
      </c>
      <c r="E127" s="18"/>
      <c r="F127" s="18"/>
    </row>
    <row r="128" spans="2:6" x14ac:dyDescent="0.55000000000000004">
      <c r="B128" s="1">
        <v>116</v>
      </c>
      <c r="C128" s="6">
        <f t="shared" si="2"/>
        <v>-3.8192115162802573</v>
      </c>
      <c r="D128" s="6">
        <f t="shared" si="3"/>
        <v>-10.070433128416685</v>
      </c>
      <c r="E128" s="18"/>
      <c r="F128" s="18"/>
    </row>
    <row r="129" spans="2:6" x14ac:dyDescent="0.55000000000000004">
      <c r="B129" s="1">
        <v>117</v>
      </c>
      <c r="C129" s="6">
        <f t="shared" si="2"/>
        <v>-4.0036562942497032</v>
      </c>
      <c r="D129" s="6">
        <f t="shared" si="3"/>
        <v>10.048419591035934</v>
      </c>
      <c r="E129" s="18"/>
      <c r="F129" s="18"/>
    </row>
    <row r="130" spans="2:6" x14ac:dyDescent="0.55000000000000004">
      <c r="B130" s="1">
        <v>118</v>
      </c>
      <c r="C130" s="6">
        <f t="shared" si="2"/>
        <v>9.7814093068996879</v>
      </c>
      <c r="D130" s="6">
        <f t="shared" si="3"/>
        <v>-4.7248314224844199</v>
      </c>
      <c r="E130" s="18"/>
      <c r="F130" s="18"/>
    </row>
    <row r="131" spans="2:6" x14ac:dyDescent="0.55000000000000004">
      <c r="B131" s="1">
        <v>119</v>
      </c>
      <c r="C131" s="6">
        <f t="shared" si="2"/>
        <v>-10.448014660191697</v>
      </c>
      <c r="D131" s="6">
        <f t="shared" si="3"/>
        <v>-3.1367163818903627</v>
      </c>
      <c r="E131" s="18"/>
      <c r="F131" s="18"/>
    </row>
    <row r="132" spans="2:6" x14ac:dyDescent="0.55000000000000004">
      <c r="B132" s="1">
        <v>120</v>
      </c>
      <c r="C132" s="6">
        <f t="shared" si="2"/>
        <v>5.6084515558900518</v>
      </c>
      <c r="D132" s="6">
        <f t="shared" si="3"/>
        <v>9.4098496877067301</v>
      </c>
      <c r="E132" s="18"/>
      <c r="F132" s="18"/>
    </row>
    <row r="133" spans="2:6" x14ac:dyDescent="0.55000000000000004">
      <c r="B133" s="1">
        <v>121</v>
      </c>
      <c r="C133" s="6">
        <f t="shared" si="2"/>
        <v>2.2302114471027248</v>
      </c>
      <c r="D133" s="6">
        <f t="shared" si="3"/>
        <v>-10.771543849477286</v>
      </c>
      <c r="E133" s="18"/>
      <c r="F133" s="18"/>
    </row>
    <row r="134" spans="2:6" x14ac:dyDescent="0.55000000000000004">
      <c r="B134" s="1">
        <v>122</v>
      </c>
      <c r="C134" s="6">
        <f t="shared" si="2"/>
        <v>-8.9574755816277527</v>
      </c>
      <c r="D134" s="6">
        <f t="shared" si="3"/>
        <v>6.4624787198522036</v>
      </c>
      <c r="E134" s="18"/>
      <c r="F134" s="18"/>
    </row>
    <row r="135" spans="2:6" x14ac:dyDescent="0.55000000000000004">
      <c r="B135" s="1">
        <v>123</v>
      </c>
      <c r="C135" s="6">
        <f t="shared" si="2"/>
        <v>11.015148364190001</v>
      </c>
      <c r="D135" s="6">
        <f t="shared" si="3"/>
        <v>1.2909324207263302</v>
      </c>
      <c r="E135" s="18"/>
      <c r="F135" s="18"/>
    </row>
    <row r="136" spans="2:6" x14ac:dyDescent="0.55000000000000004">
      <c r="B136" s="1">
        <v>124</v>
      </c>
      <c r="C136" s="6">
        <f t="shared" si="2"/>
        <v>-7.2794614326985423</v>
      </c>
      <c r="D136" s="6">
        <f t="shared" si="3"/>
        <v>-8.4267099896611182</v>
      </c>
      <c r="E136" s="18"/>
      <c r="F136" s="18"/>
    </row>
    <row r="137" spans="2:6" x14ac:dyDescent="0.55000000000000004">
      <c r="B137" s="1">
        <v>125</v>
      </c>
      <c r="C137" s="6">
        <f t="shared" si="2"/>
        <v>-0.32603933538427143</v>
      </c>
      <c r="D137" s="6">
        <f t="shared" si="3"/>
        <v>11.175584922131915</v>
      </c>
      <c r="E137" s="18"/>
      <c r="F137" s="18"/>
    </row>
    <row r="138" spans="2:6" x14ac:dyDescent="0.55000000000000004">
      <c r="B138" s="1">
        <v>126</v>
      </c>
      <c r="C138" s="6">
        <f t="shared" si="2"/>
        <v>7.8206651753210634</v>
      </c>
      <c r="D138" s="6">
        <f t="shared" si="3"/>
        <v>-8.0521547560588012</v>
      </c>
      <c r="E138" s="18"/>
      <c r="F138" s="18"/>
    </row>
    <row r="139" spans="2:6" x14ac:dyDescent="0.55000000000000004">
      <c r="B139" s="1">
        <v>127</v>
      </c>
      <c r="C139" s="6">
        <f t="shared" si="2"/>
        <v>-11.25026032981232</v>
      </c>
      <c r="D139" s="6">
        <f t="shared" si="3"/>
        <v>0.65699506196862478</v>
      </c>
      <c r="E139" s="18"/>
      <c r="F139" s="18"/>
    </row>
    <row r="140" spans="2:6" x14ac:dyDescent="0.55000000000000004">
      <c r="B140" s="1">
        <v>128</v>
      </c>
      <c r="C140" s="6">
        <f t="shared" si="2"/>
        <v>8.773583970776361</v>
      </c>
      <c r="D140" s="6">
        <f t="shared" si="3"/>
        <v>7.1431242679751925</v>
      </c>
      <c r="E140" s="18"/>
      <c r="F140" s="18"/>
    </row>
    <row r="141" spans="2:6" x14ac:dyDescent="0.55000000000000004">
      <c r="B141" s="1">
        <v>129</v>
      </c>
      <c r="C141" s="6">
        <f t="shared" ref="C141:C204" si="4">B141^$C$9*COS(2*PI()*B141/$C$8)</f>
        <v>-1.6504448743548832</v>
      </c>
      <c r="D141" s="6">
        <f t="shared" ref="D141:D204" si="5">B141^$C$9*SIN(2*PI()*B141/$C$8)</f>
        <v>-11.237260863605316</v>
      </c>
      <c r="E141" s="18"/>
      <c r="F141" s="18"/>
    </row>
    <row r="142" spans="2:6" x14ac:dyDescent="0.55000000000000004">
      <c r="B142" s="1">
        <v>130</v>
      </c>
      <c r="C142" s="6">
        <f t="shared" si="4"/>
        <v>-6.3985170080948155</v>
      </c>
      <c r="D142" s="6">
        <f t="shared" si="5"/>
        <v>9.4371065532355498</v>
      </c>
      <c r="E142" s="18"/>
      <c r="F142" s="18"/>
    </row>
    <row r="143" spans="2:6" x14ac:dyDescent="0.55000000000000004">
      <c r="B143" s="1">
        <v>131</v>
      </c>
      <c r="C143" s="6">
        <f t="shared" si="4"/>
        <v>11.135376168554073</v>
      </c>
      <c r="D143" s="6">
        <f t="shared" si="5"/>
        <v>-2.6463933163454794</v>
      </c>
      <c r="E143" s="18"/>
      <c r="F143" s="18"/>
    </row>
    <row r="144" spans="2:6" x14ac:dyDescent="0.55000000000000004">
      <c r="B144" s="1">
        <v>132</v>
      </c>
      <c r="C144" s="6">
        <f t="shared" si="4"/>
        <v>-10.036471915869342</v>
      </c>
      <c r="D144" s="6">
        <f t="shared" si="5"/>
        <v>-5.5918897952271891</v>
      </c>
      <c r="E144" s="18"/>
      <c r="F144" s="18"/>
    </row>
    <row r="145" spans="2:6" x14ac:dyDescent="0.55000000000000004">
      <c r="B145" s="1">
        <v>133</v>
      </c>
      <c r="C145" s="6">
        <f t="shared" si="4"/>
        <v>3.6367971676738167</v>
      </c>
      <c r="D145" s="6">
        <f t="shared" si="5"/>
        <v>10.944117431807816</v>
      </c>
      <c r="E145" s="18"/>
      <c r="F145" s="18"/>
    </row>
    <row r="146" spans="2:6" x14ac:dyDescent="0.55000000000000004">
      <c r="B146" s="1">
        <v>134</v>
      </c>
      <c r="C146" s="6">
        <f t="shared" si="4"/>
        <v>4.7288702484041236</v>
      </c>
      <c r="D146" s="6">
        <f t="shared" si="5"/>
        <v>-10.565878391016922</v>
      </c>
      <c r="E146" s="18"/>
      <c r="F146" s="18"/>
    </row>
    <row r="147" spans="2:6" x14ac:dyDescent="0.55000000000000004">
      <c r="B147" s="1">
        <v>135</v>
      </c>
      <c r="C147" s="6">
        <f t="shared" si="4"/>
        <v>-10.663729634243785</v>
      </c>
      <c r="D147" s="6">
        <f t="shared" si="5"/>
        <v>4.6135528920508646</v>
      </c>
      <c r="E147" s="18"/>
      <c r="F147" s="18"/>
    </row>
    <row r="148" spans="2:6" x14ac:dyDescent="0.55000000000000004">
      <c r="B148" s="1">
        <v>136</v>
      </c>
      <c r="C148" s="6">
        <f t="shared" si="4"/>
        <v>11.020026957191702</v>
      </c>
      <c r="D148" s="6">
        <f t="shared" si="5"/>
        <v>3.8156265360708761</v>
      </c>
      <c r="E148" s="18"/>
      <c r="F148" s="18"/>
    </row>
    <row r="149" spans="2:6" x14ac:dyDescent="0.55000000000000004">
      <c r="B149" s="1">
        <v>137</v>
      </c>
      <c r="C149" s="6">
        <f t="shared" si="4"/>
        <v>-5.5685638770897894</v>
      </c>
      <c r="D149" s="6">
        <f t="shared" si="5"/>
        <v>-10.295197732281336</v>
      </c>
      <c r="E149" s="18"/>
      <c r="F149" s="18"/>
    </row>
    <row r="150" spans="2:6" x14ac:dyDescent="0.55000000000000004">
      <c r="B150" s="1">
        <v>138</v>
      </c>
      <c r="C150" s="6">
        <f t="shared" si="4"/>
        <v>-2.8588217780957828</v>
      </c>
      <c r="D150" s="6">
        <f t="shared" si="5"/>
        <v>11.394171230988468</v>
      </c>
      <c r="E150" s="18"/>
      <c r="F150" s="18"/>
    </row>
    <row r="151" spans="2:6" x14ac:dyDescent="0.55000000000000004">
      <c r="B151" s="1">
        <v>139</v>
      </c>
      <c r="C151" s="6">
        <f t="shared" si="4"/>
        <v>9.8402466718262964</v>
      </c>
      <c r="D151" s="6">
        <f t="shared" si="5"/>
        <v>-6.493808238438481</v>
      </c>
      <c r="E151" s="18"/>
      <c r="F151" s="18"/>
    </row>
    <row r="152" spans="2:6" x14ac:dyDescent="0.55000000000000004">
      <c r="B152" s="1">
        <v>140</v>
      </c>
      <c r="C152" s="6">
        <f t="shared" si="4"/>
        <v>-11.684163276130421</v>
      </c>
      <c r="D152" s="6">
        <f t="shared" si="5"/>
        <v>-1.8655638656248734</v>
      </c>
      <c r="E152" s="18"/>
      <c r="F152" s="18"/>
    </row>
    <row r="153" spans="2:6" x14ac:dyDescent="0.55000000000000004">
      <c r="B153" s="1">
        <v>141</v>
      </c>
      <c r="C153" s="6">
        <f t="shared" si="4"/>
        <v>7.3814066229011654</v>
      </c>
      <c r="D153" s="6">
        <f t="shared" si="5"/>
        <v>9.3013351873476093</v>
      </c>
      <c r="E153" s="18"/>
      <c r="F153" s="18"/>
    </row>
    <row r="154" spans="2:6" x14ac:dyDescent="0.55000000000000004">
      <c r="B154" s="1">
        <v>142</v>
      </c>
      <c r="C154" s="6">
        <f t="shared" si="4"/>
        <v>0.84335108508537526</v>
      </c>
      <c r="D154" s="6">
        <f t="shared" si="5"/>
        <v>-11.886494813328499</v>
      </c>
      <c r="E154" s="18"/>
      <c r="F154" s="18"/>
    </row>
    <row r="155" spans="2:6" x14ac:dyDescent="0.55000000000000004">
      <c r="B155" s="1">
        <v>143</v>
      </c>
      <c r="C155" s="6">
        <f t="shared" si="4"/>
        <v>-8.6816433907314128</v>
      </c>
      <c r="D155" s="6">
        <f t="shared" si="5"/>
        <v>8.2236894418606035</v>
      </c>
      <c r="E155" s="18"/>
      <c r="F155" s="18"/>
    </row>
    <row r="156" spans="2:6" x14ac:dyDescent="0.55000000000000004">
      <c r="B156" s="1">
        <v>144</v>
      </c>
      <c r="C156" s="6">
        <f t="shared" si="4"/>
        <v>11.998333450437078</v>
      </c>
      <c r="D156" s="6">
        <f t="shared" si="5"/>
        <v>-0.19998602981876196</v>
      </c>
      <c r="E156" s="18"/>
      <c r="F156" s="18"/>
    </row>
    <row r="157" spans="2:6" x14ac:dyDescent="0.55000000000000004">
      <c r="B157" s="1">
        <v>145</v>
      </c>
      <c r="C157" s="6">
        <f t="shared" si="4"/>
        <v>-9.0132629673462894</v>
      </c>
      <c r="D157" s="6">
        <f t="shared" si="5"/>
        <v>-7.9850542065451231</v>
      </c>
      <c r="E157" s="18"/>
      <c r="F157" s="18"/>
    </row>
    <row r="158" spans="2:6" x14ac:dyDescent="0.55000000000000004">
      <c r="B158" s="1">
        <v>146</v>
      </c>
      <c r="C158" s="6">
        <f t="shared" si="4"/>
        <v>1.2563461600544863</v>
      </c>
      <c r="D158" s="6">
        <f t="shared" si="5"/>
        <v>12.017553591564148</v>
      </c>
      <c r="E158" s="18"/>
      <c r="F158" s="18"/>
    </row>
    <row r="159" spans="2:6" x14ac:dyDescent="0.55000000000000004">
      <c r="B159" s="1">
        <v>147</v>
      </c>
      <c r="C159" s="6">
        <f t="shared" si="4"/>
        <v>7.2161287620480579</v>
      </c>
      <c r="D159" s="6">
        <f t="shared" si="5"/>
        <v>-9.7430737290417113</v>
      </c>
      <c r="E159" s="18"/>
      <c r="F159" s="18"/>
    </row>
    <row r="160" spans="2:6" x14ac:dyDescent="0.55000000000000004">
      <c r="B160" s="1">
        <v>148</v>
      </c>
      <c r="C160" s="6">
        <f t="shared" si="4"/>
        <v>-11.942761726020692</v>
      </c>
      <c r="D160" s="6">
        <f t="shared" si="5"/>
        <v>2.3174214885288422</v>
      </c>
      <c r="E160" s="18"/>
      <c r="F160" s="18"/>
    </row>
    <row r="161" spans="2:6" x14ac:dyDescent="0.55000000000000004">
      <c r="B161" s="1">
        <v>149</v>
      </c>
      <c r="C161" s="6">
        <f t="shared" si="4"/>
        <v>10.406470661067541</v>
      </c>
      <c r="D161" s="6">
        <f t="shared" si="5"/>
        <v>6.3800758914248403</v>
      </c>
      <c r="E161" s="18"/>
      <c r="F161" s="18"/>
    </row>
    <row r="162" spans="2:6" x14ac:dyDescent="0.55000000000000004">
      <c r="B162" s="1">
        <v>150</v>
      </c>
      <c r="C162" s="6">
        <f t="shared" si="4"/>
        <v>-3.3747642973222196</v>
      </c>
      <c r="D162" s="6">
        <f t="shared" si="5"/>
        <v>-11.773315842935636</v>
      </c>
      <c r="E162" s="18"/>
      <c r="F162" s="18"/>
    </row>
    <row r="163" spans="2:6" x14ac:dyDescent="0.55000000000000004">
      <c r="B163" s="1">
        <v>151</v>
      </c>
      <c r="C163" s="6">
        <f t="shared" si="4"/>
        <v>-5.4827159637855409</v>
      </c>
      <c r="D163" s="6">
        <f t="shared" si="5"/>
        <v>10.997264462603924</v>
      </c>
      <c r="E163" s="18"/>
      <c r="F163" s="18"/>
    </row>
    <row r="164" spans="2:6" x14ac:dyDescent="0.55000000000000004">
      <c r="B164" s="1">
        <v>152</v>
      </c>
      <c r="C164" s="6">
        <f t="shared" si="4"/>
        <v>11.50933876466296</v>
      </c>
      <c r="D164" s="6">
        <f t="shared" si="5"/>
        <v>-4.4198553370247824</v>
      </c>
      <c r="E164" s="18"/>
      <c r="F164" s="18"/>
    </row>
    <row r="165" spans="2:6" x14ac:dyDescent="0.55000000000000004">
      <c r="B165" s="1">
        <v>153</v>
      </c>
      <c r="C165" s="6">
        <f t="shared" si="4"/>
        <v>-11.509783656159666</v>
      </c>
      <c r="D165" s="6">
        <f t="shared" si="5"/>
        <v>-4.5304392930928703</v>
      </c>
      <c r="E165" s="18"/>
      <c r="F165" s="18"/>
    </row>
    <row r="166" spans="2:6" x14ac:dyDescent="0.55000000000000004">
      <c r="B166" s="1">
        <v>154</v>
      </c>
      <c r="C166" s="6">
        <f t="shared" si="4"/>
        <v>5.4441734120659824</v>
      </c>
      <c r="D166" s="6">
        <f t="shared" si="5"/>
        <v>11.151725241385472</v>
      </c>
      <c r="E166" s="18"/>
      <c r="F166" s="18"/>
    </row>
    <row r="167" spans="2:6" x14ac:dyDescent="0.55000000000000004">
      <c r="B167" s="1">
        <v>155</v>
      </c>
      <c r="C167" s="6">
        <f t="shared" si="4"/>
        <v>3.5301594348818743</v>
      </c>
      <c r="D167" s="6">
        <f t="shared" si="5"/>
        <v>-11.938926851451704</v>
      </c>
      <c r="E167" s="18"/>
      <c r="F167" s="18"/>
    </row>
    <row r="168" spans="2:6" x14ac:dyDescent="0.55000000000000004">
      <c r="B168" s="1">
        <v>156</v>
      </c>
      <c r="C168" s="6">
        <f t="shared" si="4"/>
        <v>-10.702142700158074</v>
      </c>
      <c r="D168" s="6">
        <f t="shared" si="5"/>
        <v>6.4392656122770138</v>
      </c>
      <c r="E168" s="18"/>
      <c r="F168" s="18"/>
    </row>
    <row r="169" spans="2:6" x14ac:dyDescent="0.55000000000000004">
      <c r="B169" s="1">
        <v>157</v>
      </c>
      <c r="C169" s="6">
        <f t="shared" si="4"/>
        <v>12.28021075118923</v>
      </c>
      <c r="D169" s="6">
        <f t="shared" si="5"/>
        <v>2.4892617191401203</v>
      </c>
      <c r="E169" s="18"/>
      <c r="F169" s="18"/>
    </row>
    <row r="170" spans="2:6" x14ac:dyDescent="0.55000000000000004">
      <c r="B170" s="1">
        <v>158</v>
      </c>
      <c r="C170" s="6">
        <f t="shared" si="4"/>
        <v>-7.3968176117916622</v>
      </c>
      <c r="D170" s="6">
        <f t="shared" si="5"/>
        <v>-10.163025593684624</v>
      </c>
      <c r="E170" s="18"/>
      <c r="F170" s="18"/>
    </row>
    <row r="171" spans="2:6" x14ac:dyDescent="0.55000000000000004">
      <c r="B171" s="1">
        <v>159</v>
      </c>
      <c r="C171" s="6">
        <f t="shared" si="4"/>
        <v>-1.4155474104842614</v>
      </c>
      <c r="D171" s="6">
        <f t="shared" si="5"/>
        <v>12.529813467433236</v>
      </c>
      <c r="E171" s="18"/>
      <c r="F171" s="18"/>
    </row>
    <row r="172" spans="2:6" x14ac:dyDescent="0.55000000000000004">
      <c r="B172" s="1">
        <v>160</v>
      </c>
      <c r="C172" s="6">
        <f t="shared" si="4"/>
        <v>9.5375633468233652</v>
      </c>
      <c r="D172" s="6">
        <f t="shared" si="5"/>
        <v>-8.3087234522116269</v>
      </c>
      <c r="E172" s="18"/>
      <c r="F172" s="18"/>
    </row>
    <row r="173" spans="2:6" x14ac:dyDescent="0.55000000000000004">
      <c r="B173" s="1">
        <v>161</v>
      </c>
      <c r="C173" s="6">
        <f t="shared" si="4"/>
        <v>-12.684612753289757</v>
      </c>
      <c r="D173" s="6">
        <f t="shared" si="5"/>
        <v>-0.31717392559734564</v>
      </c>
      <c r="E173" s="18"/>
      <c r="F173" s="18"/>
    </row>
    <row r="174" spans="2:6" x14ac:dyDescent="0.55000000000000004">
      <c r="B174" s="1">
        <v>162</v>
      </c>
      <c r="C174" s="6">
        <f t="shared" si="4"/>
        <v>9.1671542273092719</v>
      </c>
      <c r="D174" s="6">
        <f t="shared" si="5"/>
        <v>8.829681951957598</v>
      </c>
      <c r="E174" s="18"/>
      <c r="F174" s="18"/>
    </row>
    <row r="175" spans="2:6" x14ac:dyDescent="0.55000000000000004">
      <c r="B175" s="1">
        <v>163</v>
      </c>
      <c r="C175" s="6">
        <f t="shared" si="4"/>
        <v>-0.79740842665704159</v>
      </c>
      <c r="D175" s="6">
        <f t="shared" si="5"/>
        <v>-12.742218794271912</v>
      </c>
      <c r="E175" s="18"/>
      <c r="F175" s="18"/>
    </row>
    <row r="176" spans="2:6" x14ac:dyDescent="0.55000000000000004">
      <c r="B176" s="1">
        <v>164</v>
      </c>
      <c r="C176" s="6">
        <f t="shared" si="4"/>
        <v>-8.0440193172204211</v>
      </c>
      <c r="D176" s="6">
        <f t="shared" si="5"/>
        <v>9.9646250920034465</v>
      </c>
      <c r="E176" s="18"/>
      <c r="F176" s="18"/>
    </row>
    <row r="177" spans="2:6" x14ac:dyDescent="0.55000000000000004">
      <c r="B177" s="1">
        <v>165</v>
      </c>
      <c r="C177" s="6">
        <f t="shared" si="4"/>
        <v>12.701001246397212</v>
      </c>
      <c r="D177" s="6">
        <f t="shared" si="5"/>
        <v>-1.9195226852049647</v>
      </c>
      <c r="E177" s="18"/>
      <c r="F177" s="18"/>
    </row>
    <row r="178" spans="2:6" x14ac:dyDescent="0.55000000000000004">
      <c r="B178" s="1">
        <v>166</v>
      </c>
      <c r="C178" s="6">
        <f t="shared" si="4"/>
        <v>-10.694060028335624</v>
      </c>
      <c r="D178" s="6">
        <f t="shared" si="5"/>
        <v>-7.1858945240209504</v>
      </c>
      <c r="E178" s="18"/>
      <c r="F178" s="18"/>
    </row>
    <row r="179" spans="2:6" x14ac:dyDescent="0.55000000000000004">
      <c r="B179" s="1">
        <v>167</v>
      </c>
      <c r="C179" s="6">
        <f t="shared" si="4"/>
        <v>3.0403339317251445</v>
      </c>
      <c r="D179" s="6">
        <f t="shared" si="5"/>
        <v>12.560110253640321</v>
      </c>
      <c r="E179" s="18"/>
      <c r="F179" s="18"/>
    </row>
    <row r="180" spans="2:6" x14ac:dyDescent="0.55000000000000004">
      <c r="B180" s="1">
        <v>168</v>
      </c>
      <c r="C180" s="6">
        <f t="shared" si="4"/>
        <v>6.2612712016091132</v>
      </c>
      <c r="D180" s="6">
        <f t="shared" si="5"/>
        <v>-11.348853816130525</v>
      </c>
      <c r="E180" s="18"/>
      <c r="F180" s="18"/>
    </row>
    <row r="181" spans="2:6" x14ac:dyDescent="0.55000000000000004">
      <c r="B181" s="1">
        <v>169</v>
      </c>
      <c r="C181" s="6">
        <f t="shared" si="4"/>
        <v>-12.319491225375463</v>
      </c>
      <c r="D181" s="6">
        <f t="shared" si="5"/>
        <v>4.1509198917706112</v>
      </c>
      <c r="E181" s="18"/>
      <c r="F181" s="18"/>
    </row>
    <row r="182" spans="2:6" x14ac:dyDescent="0.55000000000000004">
      <c r="B182" s="1">
        <v>170</v>
      </c>
      <c r="C182" s="6">
        <f t="shared" si="4"/>
        <v>11.922930675436969</v>
      </c>
      <c r="D182" s="6">
        <f t="shared" si="5"/>
        <v>5.276715276450318</v>
      </c>
      <c r="E182" s="18"/>
      <c r="F182" s="18"/>
    </row>
    <row r="183" spans="2:6" x14ac:dyDescent="0.55000000000000004">
      <c r="B183" s="1">
        <v>171</v>
      </c>
      <c r="C183" s="6">
        <f t="shared" si="4"/>
        <v>-5.2423428739157165</v>
      </c>
      <c r="D183" s="6">
        <f t="shared" si="5"/>
        <v>-11.979893204545069</v>
      </c>
      <c r="E183" s="18"/>
      <c r="F183" s="18"/>
    </row>
    <row r="184" spans="2:6" x14ac:dyDescent="0.55000000000000004">
      <c r="B184" s="1">
        <v>172</v>
      </c>
      <c r="C184" s="6">
        <f t="shared" si="4"/>
        <v>-4.2393474021951647</v>
      </c>
      <c r="D184" s="6">
        <f t="shared" si="5"/>
        <v>12.410799071917211</v>
      </c>
      <c r="E184" s="18"/>
      <c r="F184" s="18"/>
    </row>
    <row r="185" spans="2:6" x14ac:dyDescent="0.55000000000000004">
      <c r="B185" s="1">
        <v>173</v>
      </c>
      <c r="C185" s="6">
        <f t="shared" si="4"/>
        <v>11.542870709040232</v>
      </c>
      <c r="D185" s="6">
        <f t="shared" si="5"/>
        <v>-6.3057224641099632</v>
      </c>
      <c r="E185" s="18"/>
      <c r="F185" s="18"/>
    </row>
    <row r="186" spans="2:6" x14ac:dyDescent="0.55000000000000004">
      <c r="B186" s="1">
        <v>174</v>
      </c>
      <c r="C186" s="6">
        <f t="shared" si="4"/>
        <v>-12.807602204622452</v>
      </c>
      <c r="D186" s="6">
        <f t="shared" si="5"/>
        <v>-3.1567904219555238</v>
      </c>
      <c r="E186" s="18"/>
      <c r="F186" s="18"/>
    </row>
    <row r="187" spans="2:6" x14ac:dyDescent="0.55000000000000004">
      <c r="B187" s="1">
        <v>175</v>
      </c>
      <c r="C187" s="6">
        <f t="shared" si="4"/>
        <v>7.3323083823019477</v>
      </c>
      <c r="D187" s="6">
        <f t="shared" si="5"/>
        <v>11.010778981835236</v>
      </c>
      <c r="E187" s="18"/>
      <c r="F187" s="18"/>
    </row>
    <row r="188" spans="2:6" x14ac:dyDescent="0.55000000000000004">
      <c r="B188" s="1">
        <v>176</v>
      </c>
      <c r="C188" s="6">
        <f t="shared" si="4"/>
        <v>2.0371122577503948</v>
      </c>
      <c r="D188" s="6">
        <f t="shared" si="5"/>
        <v>-13.10916372806912</v>
      </c>
      <c r="E188" s="18"/>
      <c r="F188" s="18"/>
    </row>
    <row r="189" spans="2:6" x14ac:dyDescent="0.55000000000000004">
      <c r="B189" s="1">
        <v>177</v>
      </c>
      <c r="C189" s="6">
        <f t="shared" si="4"/>
        <v>-10.386762639241693</v>
      </c>
      <c r="D189" s="6">
        <f t="shared" si="5"/>
        <v>8.3135529033051156</v>
      </c>
      <c r="E189" s="18"/>
      <c r="F189" s="18"/>
    </row>
    <row r="190" spans="2:6" x14ac:dyDescent="0.55000000000000004">
      <c r="B190" s="1">
        <v>178</v>
      </c>
      <c r="C190" s="6">
        <f t="shared" si="4"/>
        <v>13.312028296811508</v>
      </c>
      <c r="D190" s="6">
        <f t="shared" si="5"/>
        <v>0.88876466226424489</v>
      </c>
      <c r="E190" s="18"/>
      <c r="F190" s="18"/>
    </row>
    <row r="191" spans="2:6" x14ac:dyDescent="0.55000000000000004">
      <c r="B191" s="1">
        <v>179</v>
      </c>
      <c r="C191" s="6">
        <f t="shared" si="4"/>
        <v>-9.2411822434904334</v>
      </c>
      <c r="D191" s="6">
        <f t="shared" si="5"/>
        <v>-9.6747377609213334</v>
      </c>
      <c r="E191" s="18"/>
      <c r="F191" s="18"/>
    </row>
    <row r="192" spans="2:6" x14ac:dyDescent="0.55000000000000004">
      <c r="B192" s="1">
        <v>180</v>
      </c>
      <c r="C192" s="6">
        <f t="shared" si="4"/>
        <v>0.27948169517084837</v>
      </c>
      <c r="D192" s="6">
        <f t="shared" si="5"/>
        <v>13.413496560631177</v>
      </c>
      <c r="E192" s="18"/>
      <c r="F192" s="18"/>
    </row>
    <row r="193" spans="2:6" x14ac:dyDescent="0.55000000000000004">
      <c r="B193" s="1">
        <v>181</v>
      </c>
      <c r="C193" s="6">
        <f t="shared" si="4"/>
        <v>8.879367519483262</v>
      </c>
      <c r="D193" s="6">
        <f t="shared" si="5"/>
        <v>-10.107266319531984</v>
      </c>
      <c r="E193" s="18"/>
      <c r="F193" s="18"/>
    </row>
    <row r="194" spans="2:6" x14ac:dyDescent="0.55000000000000004">
      <c r="B194" s="1">
        <v>182</v>
      </c>
      <c r="C194" s="6">
        <f t="shared" si="4"/>
        <v>-13.411654281616796</v>
      </c>
      <c r="D194" s="6">
        <f t="shared" si="5"/>
        <v>1.4586053031543116</v>
      </c>
      <c r="E194" s="18"/>
      <c r="F194" s="18"/>
    </row>
    <row r="195" spans="2:6" x14ac:dyDescent="0.55000000000000004">
      <c r="B195" s="1">
        <v>183</v>
      </c>
      <c r="C195" s="6">
        <f t="shared" si="4"/>
        <v>10.904286294945292</v>
      </c>
      <c r="D195" s="6">
        <f t="shared" si="5"/>
        <v>8.0060315011788639</v>
      </c>
      <c r="E195" s="18"/>
      <c r="F195" s="18"/>
    </row>
    <row r="196" spans="2:6" x14ac:dyDescent="0.55000000000000004">
      <c r="B196" s="1">
        <v>184</v>
      </c>
      <c r="C196" s="6">
        <f t="shared" si="4"/>
        <v>-2.6394045090252978</v>
      </c>
      <c r="D196" s="6">
        <f t="shared" si="5"/>
        <v>-13.305395290548001</v>
      </c>
      <c r="E196" s="18"/>
      <c r="F196" s="18"/>
    </row>
    <row r="197" spans="2:6" x14ac:dyDescent="0.55000000000000004">
      <c r="B197" s="1">
        <v>185</v>
      </c>
      <c r="C197" s="6">
        <f t="shared" si="4"/>
        <v>-7.0607889219666156</v>
      </c>
      <c r="D197" s="6">
        <f t="shared" si="5"/>
        <v>11.625199344503024</v>
      </c>
      <c r="E197" s="18"/>
      <c r="F197" s="18"/>
    </row>
    <row r="198" spans="2:6" x14ac:dyDescent="0.55000000000000004">
      <c r="B198" s="1">
        <v>186</v>
      </c>
      <c r="C198" s="6">
        <f t="shared" si="4"/>
        <v>13.094438048683928</v>
      </c>
      <c r="D198" s="6">
        <f t="shared" si="5"/>
        <v>-3.8125702864575</v>
      </c>
      <c r="E198" s="18"/>
      <c r="F198" s="18"/>
    </row>
    <row r="199" spans="2:6" x14ac:dyDescent="0.55000000000000004">
      <c r="B199" s="1">
        <v>187</v>
      </c>
      <c r="C199" s="6">
        <f t="shared" si="4"/>
        <v>-12.263500085703948</v>
      </c>
      <c r="D199" s="6">
        <f t="shared" si="5"/>
        <v>-6.0503359946319755</v>
      </c>
      <c r="E199" s="18"/>
      <c r="F199" s="18"/>
    </row>
    <row r="200" spans="2:6" x14ac:dyDescent="0.55000000000000004">
      <c r="B200" s="1">
        <v>188</v>
      </c>
      <c r="C200" s="6">
        <f t="shared" si="4"/>
        <v>4.9687604898986253</v>
      </c>
      <c r="D200" s="6">
        <f t="shared" si="5"/>
        <v>12.779335631949822</v>
      </c>
      <c r="E200" s="18"/>
      <c r="F200" s="18"/>
    </row>
    <row r="201" spans="2:6" x14ac:dyDescent="0.55000000000000004">
      <c r="B201" s="1">
        <v>189</v>
      </c>
      <c r="C201" s="6">
        <f t="shared" si="4"/>
        <v>4.9819577521553713</v>
      </c>
      <c r="D201" s="6">
        <f t="shared" si="5"/>
        <v>-12.813278150252534</v>
      </c>
      <c r="E201" s="18"/>
      <c r="F201" s="18"/>
    </row>
    <row r="202" spans="2:6" x14ac:dyDescent="0.55000000000000004">
      <c r="B202" s="1">
        <v>190</v>
      </c>
      <c r="C202" s="6">
        <f t="shared" si="4"/>
        <v>-12.361479007195598</v>
      </c>
      <c r="D202" s="6">
        <f t="shared" si="5"/>
        <v>6.0986749999210925</v>
      </c>
      <c r="E202" s="18"/>
      <c r="F202" s="18"/>
    </row>
    <row r="203" spans="2:6" x14ac:dyDescent="0.55000000000000004">
      <c r="B203" s="1">
        <v>191</v>
      </c>
      <c r="C203" s="6">
        <f t="shared" si="4"/>
        <v>13.26927139662094</v>
      </c>
      <c r="D203" s="6">
        <f t="shared" si="5"/>
        <v>3.8634746799762234</v>
      </c>
      <c r="E203" s="18"/>
      <c r="F203" s="18"/>
    </row>
    <row r="204" spans="2:6" x14ac:dyDescent="0.55000000000000004">
      <c r="B204" s="1">
        <v>192</v>
      </c>
      <c r="C204" s="6">
        <f t="shared" si="4"/>
        <v>-7.1931311524136392</v>
      </c>
      <c r="D204" s="6">
        <f t="shared" si="5"/>
        <v>-11.843093524251865</v>
      </c>
      <c r="E204" s="18"/>
      <c r="F204" s="18"/>
    </row>
    <row r="205" spans="2:6" x14ac:dyDescent="0.55000000000000004">
      <c r="B205" s="1">
        <v>193</v>
      </c>
      <c r="C205" s="6">
        <f t="shared" ref="C205:C268" si="6">B205^$C$9*COS(2*PI()*B205/$C$8)</f>
        <v>-2.703184554441997</v>
      </c>
      <c r="D205" s="6">
        <f t="shared" ref="D205:D268" si="7">B205^$C$9*SIN(2*PI()*B205/$C$8)</f>
        <v>13.626914297251092</v>
      </c>
      <c r="E205" s="18"/>
      <c r="F205" s="18"/>
    </row>
    <row r="206" spans="2:6" x14ac:dyDescent="0.55000000000000004">
      <c r="B206" s="1">
        <v>194</v>
      </c>
      <c r="C206" s="6">
        <f t="shared" si="6"/>
        <v>11.227228602454309</v>
      </c>
      <c r="D206" s="6">
        <f t="shared" si="7"/>
        <v>-8.2431388383450077</v>
      </c>
      <c r="E206" s="18"/>
      <c r="F206" s="18"/>
    </row>
    <row r="207" spans="2:6" x14ac:dyDescent="0.55000000000000004">
      <c r="B207" s="1">
        <v>195</v>
      </c>
      <c r="C207" s="6">
        <f t="shared" si="6"/>
        <v>-13.88238107032598</v>
      </c>
      <c r="D207" s="6">
        <f t="shared" si="7"/>
        <v>-1.5097999265647437</v>
      </c>
      <c r="E207" s="18"/>
      <c r="F207" s="18"/>
    </row>
    <row r="208" spans="2:6" x14ac:dyDescent="0.55000000000000004">
      <c r="B208" s="1">
        <v>196</v>
      </c>
      <c r="C208" s="6">
        <f t="shared" si="6"/>
        <v>9.2399746594589871</v>
      </c>
      <c r="D208" s="6">
        <f t="shared" si="7"/>
        <v>10.517740645811521</v>
      </c>
      <c r="E208" s="18"/>
      <c r="F208" s="18"/>
    </row>
    <row r="209" spans="2:6" x14ac:dyDescent="0.55000000000000004">
      <c r="B209" s="1">
        <v>197</v>
      </c>
      <c r="C209" s="6">
        <f t="shared" si="6"/>
        <v>0.29238172853343658</v>
      </c>
      <c r="D209" s="6">
        <f t="shared" si="7"/>
        <v>-14.032623166208797</v>
      </c>
      <c r="E209" s="18"/>
      <c r="F209" s="18"/>
    </row>
    <row r="210" spans="2:6" x14ac:dyDescent="0.55000000000000004">
      <c r="B210" s="1">
        <v>198</v>
      </c>
      <c r="C210" s="6">
        <f t="shared" si="6"/>
        <v>-9.7192692764370641</v>
      </c>
      <c r="D210" s="6">
        <f t="shared" si="7"/>
        <v>10.175254529106708</v>
      </c>
      <c r="E210" s="18"/>
      <c r="F210" s="18"/>
    </row>
    <row r="211" spans="2:6" x14ac:dyDescent="0.55000000000000004">
      <c r="B211" s="1">
        <v>199</v>
      </c>
      <c r="C211" s="6">
        <f t="shared" si="6"/>
        <v>14.075400762180148</v>
      </c>
      <c r="D211" s="6">
        <f t="shared" si="7"/>
        <v>-0.93973048477660648</v>
      </c>
      <c r="E211" s="18"/>
      <c r="F211" s="18"/>
    </row>
    <row r="212" spans="2:6" x14ac:dyDescent="0.55000000000000004">
      <c r="B212" s="1">
        <v>200</v>
      </c>
      <c r="C212" s="6">
        <f t="shared" si="6"/>
        <v>-11.041004116090908</v>
      </c>
      <c r="D212" s="6">
        <f t="shared" si="7"/>
        <v>-8.8372070309834658</v>
      </c>
      <c r="E212" s="18"/>
      <c r="F212" s="18"/>
    </row>
    <row r="213" spans="2:6" x14ac:dyDescent="0.55000000000000004">
      <c r="B213" s="1">
        <v>201</v>
      </c>
      <c r="C213" s="6">
        <f t="shared" si="6"/>
        <v>2.1769911164218163</v>
      </c>
      <c r="D213" s="6">
        <f t="shared" si="7"/>
        <v>14.009307965742652</v>
      </c>
      <c r="E213" s="18"/>
      <c r="F213" s="18"/>
    </row>
    <row r="214" spans="2:6" x14ac:dyDescent="0.55000000000000004">
      <c r="B214" s="1">
        <v>202</v>
      </c>
      <c r="C214" s="6">
        <f t="shared" si="6"/>
        <v>7.8776627190129682</v>
      </c>
      <c r="D214" s="6">
        <f t="shared" si="7"/>
        <v>-11.829726543140092</v>
      </c>
      <c r="E214" s="18"/>
      <c r="F214" s="18"/>
    </row>
    <row r="215" spans="2:6" x14ac:dyDescent="0.55000000000000004">
      <c r="B215" s="1">
        <v>203</v>
      </c>
      <c r="C215" s="6">
        <f t="shared" si="6"/>
        <v>-13.833791476084201</v>
      </c>
      <c r="D215" s="6">
        <f t="shared" si="7"/>
        <v>3.4097233606584698</v>
      </c>
      <c r="E215" s="18"/>
      <c r="F215" s="18"/>
    </row>
    <row r="216" spans="2:6" x14ac:dyDescent="0.55000000000000004">
      <c r="B216" s="1">
        <v>204</v>
      </c>
      <c r="C216" s="6">
        <f t="shared" si="6"/>
        <v>12.534466770216575</v>
      </c>
      <c r="D216" s="6">
        <f t="shared" si="7"/>
        <v>6.8474186951242046</v>
      </c>
      <c r="E216" s="18"/>
      <c r="F216" s="18"/>
    </row>
    <row r="217" spans="2:6" x14ac:dyDescent="0.55000000000000004">
      <c r="B217" s="1">
        <v>205</v>
      </c>
      <c r="C217" s="6">
        <f t="shared" si="6"/>
        <v>-4.6281956975160217</v>
      </c>
      <c r="D217" s="6">
        <f t="shared" si="7"/>
        <v>-13.5491625049482</v>
      </c>
      <c r="E217" s="18"/>
      <c r="F217" s="18"/>
    </row>
    <row r="218" spans="2:6" x14ac:dyDescent="0.55000000000000004">
      <c r="B218" s="1">
        <v>206</v>
      </c>
      <c r="C218" s="6">
        <f t="shared" si="6"/>
        <v>-5.7538823478012207</v>
      </c>
      <c r="D218" s="6">
        <f t="shared" si="7"/>
        <v>13.148872116180213</v>
      </c>
      <c r="E218" s="18"/>
      <c r="F218" s="18"/>
    </row>
    <row r="219" spans="2:6" x14ac:dyDescent="0.55000000000000004">
      <c r="B219" s="1">
        <v>207</v>
      </c>
      <c r="C219" s="6">
        <f t="shared" si="6"/>
        <v>13.156601811723469</v>
      </c>
      <c r="D219" s="6">
        <f t="shared" si="7"/>
        <v>-5.8226994399294512</v>
      </c>
      <c r="E219" s="18"/>
      <c r="F219" s="18"/>
    </row>
    <row r="220" spans="2:6" x14ac:dyDescent="0.55000000000000004">
      <c r="B220" s="1">
        <v>208</v>
      </c>
      <c r="C220" s="6">
        <f t="shared" si="6"/>
        <v>-13.667248400223709</v>
      </c>
      <c r="D220" s="6">
        <f t="shared" si="7"/>
        <v>-4.6050321569542199</v>
      </c>
      <c r="E220" s="18"/>
      <c r="F220" s="18"/>
    </row>
    <row r="221" spans="2:6" x14ac:dyDescent="0.55000000000000004">
      <c r="B221" s="1">
        <v>209</v>
      </c>
      <c r="C221" s="6">
        <f t="shared" si="6"/>
        <v>6.9836267123160134</v>
      </c>
      <c r="D221" s="6">
        <f t="shared" si="7"/>
        <v>12.658157762606146</v>
      </c>
      <c r="E221" s="18"/>
      <c r="F221" s="18"/>
    </row>
    <row r="222" spans="2:6" x14ac:dyDescent="0.55000000000000004">
      <c r="B222" s="1">
        <v>210</v>
      </c>
      <c r="C222" s="6">
        <f t="shared" si="6"/>
        <v>3.4093587184229261</v>
      </c>
      <c r="D222" s="6">
        <f t="shared" si="7"/>
        <v>-14.084611216825033</v>
      </c>
      <c r="E222" s="18"/>
      <c r="F222" s="18"/>
    </row>
    <row r="223" spans="2:6" x14ac:dyDescent="0.55000000000000004">
      <c r="B223" s="1">
        <v>211</v>
      </c>
      <c r="C223" s="6">
        <f t="shared" si="6"/>
        <v>-12.056737379788096</v>
      </c>
      <c r="D223" s="6">
        <f t="shared" si="7"/>
        <v>8.1015482319628553</v>
      </c>
      <c r="E223" s="18"/>
      <c r="F223" s="18"/>
    </row>
    <row r="224" spans="2:6" x14ac:dyDescent="0.55000000000000004">
      <c r="B224" s="1">
        <v>212</v>
      </c>
      <c r="C224" s="6">
        <f t="shared" si="6"/>
        <v>14.39673189432839</v>
      </c>
      <c r="D224" s="6">
        <f t="shared" si="7"/>
        <v>2.1758011772282169</v>
      </c>
      <c r="E224" s="18"/>
      <c r="F224" s="18"/>
    </row>
    <row r="225" spans="2:6" x14ac:dyDescent="0.55000000000000004">
      <c r="B225" s="1">
        <v>213</v>
      </c>
      <c r="C225" s="6">
        <f t="shared" si="6"/>
        <v>-9.1672902622115693</v>
      </c>
      <c r="D225" s="6">
        <f t="shared" si="7"/>
        <v>-11.35609040331931</v>
      </c>
      <c r="E225" s="18"/>
      <c r="F225" s="18"/>
    </row>
    <row r="226" spans="2:6" x14ac:dyDescent="0.55000000000000004">
      <c r="B226" s="1">
        <v>214</v>
      </c>
      <c r="C226" s="6">
        <f t="shared" si="6"/>
        <v>-0.91367955130410516</v>
      </c>
      <c r="D226" s="6">
        <f t="shared" si="7"/>
        <v>14.600177727600741</v>
      </c>
      <c r="E226" s="18"/>
      <c r="F226" s="18"/>
    </row>
    <row r="227" spans="2:6" x14ac:dyDescent="0.55000000000000004">
      <c r="B227" s="1">
        <v>215</v>
      </c>
      <c r="C227" s="6">
        <f t="shared" si="6"/>
        <v>10.560786445077834</v>
      </c>
      <c r="D227" s="6">
        <f t="shared" si="7"/>
        <v>-10.172010109189838</v>
      </c>
      <c r="E227" s="18"/>
      <c r="F227" s="18"/>
    </row>
    <row r="228" spans="2:6" x14ac:dyDescent="0.55000000000000004">
      <c r="B228" s="1">
        <v>216</v>
      </c>
      <c r="C228" s="6">
        <f t="shared" si="6"/>
        <v>-14.692346119008148</v>
      </c>
      <c r="D228" s="6">
        <f t="shared" si="7"/>
        <v>0.36737653608550136</v>
      </c>
      <c r="E228" s="18"/>
      <c r="F228" s="18"/>
    </row>
    <row r="229" spans="2:6" x14ac:dyDescent="0.55000000000000004">
      <c r="B229" s="1">
        <v>217</v>
      </c>
      <c r="C229" s="6">
        <f t="shared" si="6"/>
        <v>11.107269541572581</v>
      </c>
      <c r="D229" s="6">
        <f t="shared" si="7"/>
        <v>9.6761853708397911</v>
      </c>
      <c r="E229" s="18"/>
      <c r="F229" s="18"/>
    </row>
    <row r="230" spans="2:6" x14ac:dyDescent="0.55000000000000004">
      <c r="B230" s="1">
        <v>218</v>
      </c>
      <c r="C230" s="6">
        <f t="shared" si="6"/>
        <v>-1.6575021647428283</v>
      </c>
      <c r="D230" s="6">
        <f t="shared" si="7"/>
        <v>-14.671492309028174</v>
      </c>
      <c r="E230" s="18"/>
      <c r="F230" s="18"/>
    </row>
    <row r="231" spans="2:6" x14ac:dyDescent="0.55000000000000004">
      <c r="B231" s="1">
        <v>219</v>
      </c>
      <c r="C231" s="6">
        <f t="shared" si="6"/>
        <v>-8.7084011020896472</v>
      </c>
      <c r="D231" s="6">
        <f t="shared" si="7"/>
        <v>11.965105525866615</v>
      </c>
      <c r="E231" s="18"/>
      <c r="F231" s="18"/>
    </row>
    <row r="232" spans="2:6" x14ac:dyDescent="0.55000000000000004">
      <c r="B232" s="1">
        <v>220</v>
      </c>
      <c r="C232" s="6">
        <f t="shared" si="6"/>
        <v>14.536750427705414</v>
      </c>
      <c r="D232" s="6">
        <f t="shared" si="7"/>
        <v>-2.9466738880654066</v>
      </c>
      <c r="E232" s="18"/>
      <c r="F232" s="18"/>
    </row>
    <row r="233" spans="2:6" x14ac:dyDescent="0.55000000000000004">
      <c r="B233" s="1">
        <v>221</v>
      </c>
      <c r="C233" s="6">
        <f t="shared" si="6"/>
        <v>-12.738097687542185</v>
      </c>
      <c r="D233" s="6">
        <f t="shared" si="7"/>
        <v>-7.6642590837361739</v>
      </c>
      <c r="E233" s="18"/>
      <c r="F233" s="18"/>
    </row>
    <row r="234" spans="2:6" x14ac:dyDescent="0.55000000000000004">
      <c r="B234" s="1">
        <v>222</v>
      </c>
      <c r="C234" s="6">
        <f t="shared" si="6"/>
        <v>4.2247883635721708</v>
      </c>
      <c r="D234" s="6">
        <f t="shared" si="7"/>
        <v>14.288147650518773</v>
      </c>
      <c r="E234" s="18"/>
      <c r="F234" s="18"/>
    </row>
    <row r="235" spans="2:6" x14ac:dyDescent="0.55000000000000004">
      <c r="B235" s="1">
        <v>223</v>
      </c>
      <c r="C235" s="6">
        <f t="shared" si="6"/>
        <v>6.5512477166672332</v>
      </c>
      <c r="D235" s="6">
        <f t="shared" si="7"/>
        <v>-13.419431931153508</v>
      </c>
      <c r="E235" s="18"/>
      <c r="F235" s="18"/>
    </row>
    <row r="236" spans="2:6" x14ac:dyDescent="0.55000000000000004">
      <c r="B236" s="1">
        <v>224</v>
      </c>
      <c r="C236" s="6">
        <f t="shared" si="6"/>
        <v>-13.926611296641507</v>
      </c>
      <c r="D236" s="6">
        <f t="shared" si="7"/>
        <v>5.4817422223465737</v>
      </c>
      <c r="E236" s="18"/>
      <c r="F236" s="18"/>
    </row>
    <row r="237" spans="2:6" x14ac:dyDescent="0.55000000000000004">
      <c r="B237" s="1">
        <v>225</v>
      </c>
      <c r="C237" s="6">
        <f t="shared" si="6"/>
        <v>14.002959680095676</v>
      </c>
      <c r="D237" s="6">
        <f t="shared" si="7"/>
        <v>5.3774641047258314</v>
      </c>
      <c r="E237" s="18"/>
      <c r="F237" s="18"/>
    </row>
    <row r="238" spans="2:6" x14ac:dyDescent="0.55000000000000004">
      <c r="B238" s="1">
        <v>226</v>
      </c>
      <c r="C238" s="6">
        <f t="shared" si="6"/>
        <v>-6.7075125425380584</v>
      </c>
      <c r="D238" s="6">
        <f t="shared" si="7"/>
        <v>-13.453968763591456</v>
      </c>
      <c r="E238" s="18"/>
      <c r="F238" s="18"/>
    </row>
    <row r="239" spans="2:6" x14ac:dyDescent="0.55000000000000004">
      <c r="B239" s="1">
        <v>227</v>
      </c>
      <c r="C239" s="6">
        <f t="shared" si="6"/>
        <v>-4.151554513811651</v>
      </c>
      <c r="D239" s="6">
        <f t="shared" si="7"/>
        <v>14.483252228655347</v>
      </c>
      <c r="E239" s="18"/>
      <c r="F239" s="18"/>
    </row>
    <row r="240" spans="2:6" x14ac:dyDescent="0.55000000000000004">
      <c r="B240" s="1">
        <v>228</v>
      </c>
      <c r="C240" s="6">
        <f t="shared" si="6"/>
        <v>12.872940249462353</v>
      </c>
      <c r="D240" s="6">
        <f t="shared" si="7"/>
        <v>-7.8922372831645244</v>
      </c>
      <c r="E240" s="18"/>
      <c r="F240" s="18"/>
    </row>
    <row r="241" spans="2:6" x14ac:dyDescent="0.55000000000000004">
      <c r="B241" s="1">
        <v>229</v>
      </c>
      <c r="C241" s="6">
        <f t="shared" si="6"/>
        <v>-14.855649735306155</v>
      </c>
      <c r="D241" s="6">
        <f t="shared" si="7"/>
        <v>-2.8826499860194921</v>
      </c>
      <c r="E241" s="18"/>
      <c r="F241" s="18"/>
    </row>
    <row r="242" spans="2:6" x14ac:dyDescent="0.55000000000000004">
      <c r="B242" s="1">
        <v>230</v>
      </c>
      <c r="C242" s="6">
        <f t="shared" si="6"/>
        <v>9.0262950307658247</v>
      </c>
      <c r="D242" s="6">
        <f t="shared" si="7"/>
        <v>12.18712427185233</v>
      </c>
      <c r="E242" s="18"/>
      <c r="F242" s="18"/>
    </row>
    <row r="243" spans="2:6" x14ac:dyDescent="0.55000000000000004">
      <c r="B243" s="1">
        <v>231</v>
      </c>
      <c r="C243" s="6">
        <f t="shared" si="6"/>
        <v>1.5802975934926433</v>
      </c>
      <c r="D243" s="6">
        <f t="shared" si="7"/>
        <v>-15.116304426545575</v>
      </c>
      <c r="E243" s="18"/>
      <c r="F243" s="18"/>
    </row>
    <row r="244" spans="2:6" x14ac:dyDescent="0.55000000000000004">
      <c r="B244" s="1">
        <v>232</v>
      </c>
      <c r="C244" s="6">
        <f t="shared" si="6"/>
        <v>-11.40097605074004</v>
      </c>
      <c r="D244" s="6">
        <f t="shared" si="7"/>
        <v>10.100383413041905</v>
      </c>
      <c r="E244" s="18"/>
      <c r="F244" s="18"/>
    </row>
    <row r="245" spans="2:6" x14ac:dyDescent="0.55000000000000004">
      <c r="B245" s="1">
        <v>233</v>
      </c>
      <c r="C245" s="6">
        <f t="shared" si="6"/>
        <v>15.262217624555005</v>
      </c>
      <c r="D245" s="6">
        <f t="shared" si="7"/>
        <v>0.25438785490382054</v>
      </c>
      <c r="E245" s="18"/>
      <c r="F245" s="18"/>
    </row>
    <row r="246" spans="2:6" x14ac:dyDescent="0.55000000000000004">
      <c r="B246" s="1">
        <v>234</v>
      </c>
      <c r="C246" s="6">
        <f t="shared" si="6"/>
        <v>-11.10559554029234</v>
      </c>
      <c r="D246" s="6">
        <f t="shared" si="7"/>
        <v>-10.519778880539215</v>
      </c>
      <c r="E246" s="18"/>
      <c r="F246" s="18"/>
    </row>
    <row r="247" spans="2:6" x14ac:dyDescent="0.55000000000000004">
      <c r="B247" s="1">
        <v>235</v>
      </c>
      <c r="C247" s="6">
        <f t="shared" si="6"/>
        <v>1.0849211284054343</v>
      </c>
      <c r="D247" s="6">
        <f t="shared" si="7"/>
        <v>15.291270259371505</v>
      </c>
      <c r="E247" s="18"/>
      <c r="F247" s="18"/>
    </row>
    <row r="248" spans="2:6" x14ac:dyDescent="0.55000000000000004">
      <c r="B248" s="1">
        <v>236</v>
      </c>
      <c r="C248" s="6">
        <f t="shared" si="6"/>
        <v>9.5496086737530863</v>
      </c>
      <c r="D248" s="6">
        <f t="shared" si="7"/>
        <v>-12.033493847514933</v>
      </c>
      <c r="E248" s="18"/>
      <c r="F248" s="18"/>
    </row>
    <row r="249" spans="2:6" x14ac:dyDescent="0.55000000000000004">
      <c r="B249" s="1">
        <v>237</v>
      </c>
      <c r="C249" s="6">
        <f t="shared" si="6"/>
        <v>-15.202246576643862</v>
      </c>
      <c r="D249" s="6">
        <f t="shared" si="7"/>
        <v>2.4272822297623304</v>
      </c>
      <c r="E249" s="18"/>
      <c r="F249" s="18"/>
    </row>
    <row r="250" spans="2:6" x14ac:dyDescent="0.55000000000000004">
      <c r="B250" s="1">
        <v>238</v>
      </c>
      <c r="C250" s="6">
        <f t="shared" si="6"/>
        <v>12.87618072699148</v>
      </c>
      <c r="D250" s="6">
        <f t="shared" si="7"/>
        <v>8.4972919148310506</v>
      </c>
      <c r="E250" s="18"/>
      <c r="F250" s="18"/>
    </row>
    <row r="251" spans="2:6" x14ac:dyDescent="0.55000000000000004">
      <c r="B251" s="1">
        <v>239</v>
      </c>
      <c r="C251" s="6">
        <f t="shared" si="6"/>
        <v>-3.7622399358239704</v>
      </c>
      <c r="D251" s="6">
        <f t="shared" si="7"/>
        <v>-14.994850805036082</v>
      </c>
      <c r="E251" s="18"/>
      <c r="F251" s="18"/>
    </row>
    <row r="252" spans="2:6" x14ac:dyDescent="0.55000000000000004">
      <c r="B252" s="1">
        <v>240</v>
      </c>
      <c r="C252" s="6">
        <f t="shared" si="6"/>
        <v>-7.3703573172312096</v>
      </c>
      <c r="D252" s="6">
        <f t="shared" si="7"/>
        <v>13.626365363380522</v>
      </c>
      <c r="E252" s="18"/>
      <c r="F252" s="18"/>
    </row>
    <row r="253" spans="2:6" x14ac:dyDescent="0.55000000000000004">
      <c r="B253" s="1">
        <v>241</v>
      </c>
      <c r="C253" s="6">
        <f t="shared" si="6"/>
        <v>14.669716602545332</v>
      </c>
      <c r="D253" s="6">
        <f t="shared" si="7"/>
        <v>-5.0793124338837297</v>
      </c>
      <c r="E253" s="18"/>
      <c r="F253" s="18"/>
    </row>
    <row r="254" spans="2:6" x14ac:dyDescent="0.55000000000000004">
      <c r="B254" s="1">
        <v>242</v>
      </c>
      <c r="C254" s="6">
        <f t="shared" si="6"/>
        <v>-14.277426210209162</v>
      </c>
      <c r="D254" s="6">
        <f t="shared" si="7"/>
        <v>-6.1769815291963122</v>
      </c>
      <c r="E254" s="18"/>
      <c r="F254" s="18"/>
    </row>
    <row r="255" spans="2:6" x14ac:dyDescent="0.55000000000000004">
      <c r="B255" s="1">
        <v>243</v>
      </c>
      <c r="C255" s="6">
        <f t="shared" si="6"/>
        <v>6.3680744997401684</v>
      </c>
      <c r="D255" s="6">
        <f t="shared" si="7"/>
        <v>14.228409157940288</v>
      </c>
      <c r="E255" s="18"/>
      <c r="F255" s="18"/>
    </row>
    <row r="256" spans="2:6" x14ac:dyDescent="0.55000000000000004">
      <c r="B256" s="1">
        <v>244</v>
      </c>
      <c r="C256" s="6">
        <f t="shared" si="6"/>
        <v>4.9259292836177773</v>
      </c>
      <c r="D256" s="6">
        <f t="shared" si="7"/>
        <v>-14.823468578332022</v>
      </c>
      <c r="E256" s="18"/>
      <c r="F256" s="18"/>
    </row>
    <row r="257" spans="2:6" x14ac:dyDescent="0.55000000000000004">
      <c r="B257" s="1">
        <v>245</v>
      </c>
      <c r="C257" s="6">
        <f t="shared" si="6"/>
        <v>-13.673419881814862</v>
      </c>
      <c r="D257" s="6">
        <f t="shared" si="7"/>
        <v>7.6182405275490011</v>
      </c>
      <c r="E257" s="18"/>
      <c r="F257" s="18"/>
    </row>
    <row r="258" spans="2:6" x14ac:dyDescent="0.55000000000000004">
      <c r="B258" s="1">
        <v>246</v>
      </c>
      <c r="C258" s="6">
        <f t="shared" si="6"/>
        <v>15.259376842935193</v>
      </c>
      <c r="D258" s="6">
        <f t="shared" si="7"/>
        <v>3.6264884344629023</v>
      </c>
      <c r="E258" s="18"/>
      <c r="F258" s="18"/>
    </row>
    <row r="259" spans="2:6" x14ac:dyDescent="0.55000000000000004">
      <c r="B259" s="1">
        <v>247</v>
      </c>
      <c r="C259" s="6">
        <f t="shared" si="6"/>
        <v>-8.819747038073416</v>
      </c>
      <c r="D259" s="6">
        <f t="shared" si="7"/>
        <v>-13.008153680841691</v>
      </c>
      <c r="E259" s="18"/>
      <c r="F259" s="18"/>
    </row>
    <row r="260" spans="2:6" x14ac:dyDescent="0.55000000000000004">
      <c r="B260" s="1">
        <v>248</v>
      </c>
      <c r="C260" s="6">
        <f t="shared" si="6"/>
        <v>-2.2884003658645478</v>
      </c>
      <c r="D260" s="6">
        <f t="shared" si="7"/>
        <v>15.580860815934111</v>
      </c>
      <c r="E260" s="18"/>
      <c r="F260" s="18"/>
    </row>
    <row r="261" spans="2:6" x14ac:dyDescent="0.55000000000000004">
      <c r="B261" s="1">
        <v>249</v>
      </c>
      <c r="C261" s="6">
        <f t="shared" si="6"/>
        <v>12.236908868306044</v>
      </c>
      <c r="D261" s="6">
        <f t="shared" si="7"/>
        <v>-9.9628340018677868</v>
      </c>
      <c r="E261" s="18"/>
      <c r="F261" s="18"/>
    </row>
    <row r="262" spans="2:6" x14ac:dyDescent="0.55000000000000004">
      <c r="B262" s="1">
        <v>250</v>
      </c>
      <c r="C262" s="6">
        <f t="shared" si="6"/>
        <v>-15.784495874650034</v>
      </c>
      <c r="D262" s="6">
        <f t="shared" si="7"/>
        <v>-0.92178630015641616</v>
      </c>
      <c r="E262" s="18"/>
      <c r="F262" s="18"/>
    </row>
    <row r="263" spans="2:6" x14ac:dyDescent="0.55000000000000004">
      <c r="B263" s="1">
        <v>251</v>
      </c>
      <c r="C263" s="6">
        <f t="shared" si="6"/>
        <v>11.038124319439225</v>
      </c>
      <c r="D263" s="6">
        <f t="shared" si="7"/>
        <v>11.364849823407448</v>
      </c>
      <c r="E263" s="18"/>
      <c r="F263" s="18"/>
    </row>
    <row r="264" spans="2:6" x14ac:dyDescent="0.55000000000000004">
      <c r="B264" s="1">
        <v>252</v>
      </c>
      <c r="C264" s="6">
        <f t="shared" si="6"/>
        <v>-0.46292993294246765</v>
      </c>
      <c r="D264" s="6">
        <f t="shared" si="7"/>
        <v>-15.867756485312784</v>
      </c>
      <c r="E264" s="18"/>
      <c r="F264" s="18"/>
    </row>
    <row r="265" spans="2:6" x14ac:dyDescent="0.55000000000000004">
      <c r="B265" s="1">
        <v>253</v>
      </c>
      <c r="C265" s="6">
        <f t="shared" si="6"/>
        <v>-10.397972570592428</v>
      </c>
      <c r="D265" s="6">
        <f t="shared" si="7"/>
        <v>12.036700811319001</v>
      </c>
      <c r="E265" s="18"/>
      <c r="F265" s="18"/>
    </row>
    <row r="266" spans="2:6" x14ac:dyDescent="0.55000000000000004">
      <c r="B266" s="1">
        <v>254</v>
      </c>
      <c r="C266" s="6">
        <f t="shared" si="6"/>
        <v>15.829042810687451</v>
      </c>
      <c r="D266" s="6">
        <f t="shared" si="7"/>
        <v>-1.8551020719690718</v>
      </c>
      <c r="E266" s="18"/>
      <c r="F266" s="18"/>
    </row>
    <row r="267" spans="2:6" x14ac:dyDescent="0.55000000000000004">
      <c r="B267" s="1">
        <v>255</v>
      </c>
      <c r="C267" s="6">
        <f t="shared" si="6"/>
        <v>-12.950180086998888</v>
      </c>
      <c r="D267" s="6">
        <f t="shared" si="7"/>
        <v>-9.343063507988024</v>
      </c>
      <c r="E267" s="18"/>
      <c r="F267" s="18"/>
    </row>
    <row r="268" spans="2:6" x14ac:dyDescent="0.55000000000000004">
      <c r="B268" s="1">
        <v>256</v>
      </c>
      <c r="C268" s="6">
        <f t="shared" si="6"/>
        <v>3.243943923065971</v>
      </c>
      <c r="D268" s="6">
        <f t="shared" si="7"/>
        <v>15.66770014469269</v>
      </c>
      <c r="E268" s="18"/>
      <c r="F268" s="18"/>
    </row>
    <row r="269" spans="2:6" x14ac:dyDescent="0.55000000000000004">
      <c r="B269" s="1">
        <v>257</v>
      </c>
      <c r="C269" s="6">
        <f t="shared" ref="C269:C332" si="8">B269^$C$9*COS(2*PI()*B269/$C$8)</f>
        <v>8.2076515701603814</v>
      </c>
      <c r="D269" s="6">
        <f t="shared" ref="D269:D332" si="9">B269^$C$9*SIN(2*PI()*B269/$C$8)</f>
        <v>-13.770782683015655</v>
      </c>
      <c r="E269" s="18"/>
      <c r="F269" s="18"/>
    </row>
    <row r="270" spans="2:6" x14ac:dyDescent="0.55000000000000004">
      <c r="B270" s="1">
        <v>258</v>
      </c>
      <c r="C270" s="6">
        <f t="shared" si="8"/>
        <v>-15.384030972779922</v>
      </c>
      <c r="D270" s="6">
        <f t="shared" si="9"/>
        <v>4.6186135396402248</v>
      </c>
      <c r="E270" s="18"/>
      <c r="F270" s="18"/>
    </row>
    <row r="271" spans="2:6" x14ac:dyDescent="0.55000000000000004">
      <c r="B271" s="1">
        <v>259</v>
      </c>
      <c r="C271" s="6">
        <f t="shared" si="8"/>
        <v>14.491398886619567</v>
      </c>
      <c r="D271" s="6">
        <f t="shared" si="9"/>
        <v>6.9999541647700205</v>
      </c>
      <c r="E271" s="18"/>
      <c r="F271" s="18"/>
    </row>
    <row r="272" spans="2:6" x14ac:dyDescent="0.55000000000000004">
      <c r="B272" s="1">
        <v>260</v>
      </c>
      <c r="C272" s="6">
        <f t="shared" si="8"/>
        <v>-5.9682984216669954</v>
      </c>
      <c r="D272" s="6">
        <f t="shared" si="9"/>
        <v>-14.979299514661133</v>
      </c>
      <c r="E272" s="18"/>
      <c r="F272" s="18"/>
    </row>
    <row r="273" spans="2:6" x14ac:dyDescent="0.55000000000000004">
      <c r="B273" s="1">
        <v>261</v>
      </c>
      <c r="C273" s="6">
        <f t="shared" si="8"/>
        <v>-5.7288172744123322</v>
      </c>
      <c r="D273" s="6">
        <f t="shared" si="9"/>
        <v>15.105649692628081</v>
      </c>
      <c r="E273" s="18"/>
      <c r="F273" s="18"/>
    </row>
    <row r="274" spans="2:6" x14ac:dyDescent="0.55000000000000004">
      <c r="B274" s="1">
        <v>262</v>
      </c>
      <c r="C274" s="6">
        <f t="shared" si="8"/>
        <v>14.455728665276776</v>
      </c>
      <c r="D274" s="6">
        <f t="shared" si="9"/>
        <v>-7.2823010618825252</v>
      </c>
      <c r="E274" s="18"/>
      <c r="F274" s="18"/>
    </row>
    <row r="275" spans="2:6" x14ac:dyDescent="0.55000000000000004">
      <c r="B275" s="1">
        <v>263</v>
      </c>
      <c r="C275" s="6">
        <f t="shared" si="8"/>
        <v>-15.607942376663139</v>
      </c>
      <c r="D275" s="6">
        <f t="shared" si="9"/>
        <v>-4.4036501639847616</v>
      </c>
      <c r="E275" s="18"/>
      <c r="F275" s="18"/>
    </row>
    <row r="276" spans="2:6" x14ac:dyDescent="0.55000000000000004">
      <c r="B276" s="1">
        <v>264</v>
      </c>
      <c r="C276" s="6">
        <f t="shared" si="8"/>
        <v>8.5501241594857564</v>
      </c>
      <c r="D276" s="6">
        <f t="shared" si="9"/>
        <v>13.816489310145975</v>
      </c>
      <c r="E276" s="18"/>
      <c r="F276" s="18"/>
    </row>
    <row r="277" spans="2:6" x14ac:dyDescent="0.55000000000000004">
      <c r="B277" s="1">
        <v>265</v>
      </c>
      <c r="C277" s="6">
        <f t="shared" si="8"/>
        <v>3.0343551795439967</v>
      </c>
      <c r="D277" s="6">
        <f t="shared" si="9"/>
        <v>-15.99352020802095</v>
      </c>
      <c r="E277" s="18"/>
      <c r="F277" s="18"/>
    </row>
    <row r="278" spans="2:6" x14ac:dyDescent="0.55000000000000004">
      <c r="B278" s="1">
        <v>266</v>
      </c>
      <c r="C278" s="6">
        <f t="shared" si="8"/>
        <v>-13.065682052088803</v>
      </c>
      <c r="D278" s="6">
        <f t="shared" si="9"/>
        <v>9.7615548205050029</v>
      </c>
      <c r="E278" s="18"/>
      <c r="F278" s="18"/>
    </row>
    <row r="279" spans="2:6" x14ac:dyDescent="0.55000000000000004">
      <c r="B279" s="1">
        <v>267</v>
      </c>
      <c r="C279" s="6">
        <f t="shared" si="8"/>
        <v>16.258505869420098</v>
      </c>
      <c r="D279" s="6">
        <f t="shared" si="9"/>
        <v>1.6312531667500754</v>
      </c>
      <c r="E279" s="18"/>
      <c r="F279" s="18"/>
    </row>
    <row r="280" spans="2:6" x14ac:dyDescent="0.55000000000000004">
      <c r="B280" s="1">
        <v>268</v>
      </c>
      <c r="C280" s="6">
        <f t="shared" si="8"/>
        <v>-10.906747068287237</v>
      </c>
      <c r="D280" s="6">
        <f t="shared" si="9"/>
        <v>-12.208311447059653</v>
      </c>
      <c r="E280" s="18"/>
      <c r="F280" s="18"/>
    </row>
    <row r="281" spans="2:6" x14ac:dyDescent="0.55000000000000004">
      <c r="B281" s="1">
        <v>269</v>
      </c>
      <c r="C281" s="6">
        <f t="shared" si="8"/>
        <v>-0.205005074951146</v>
      </c>
      <c r="D281" s="6">
        <f t="shared" si="9"/>
        <v>16.399938198641003</v>
      </c>
      <c r="E281" s="18"/>
      <c r="F281" s="18"/>
    </row>
    <row r="282" spans="2:6" x14ac:dyDescent="0.55000000000000004">
      <c r="B282" s="1">
        <v>270</v>
      </c>
      <c r="C282" s="6">
        <f t="shared" si="8"/>
        <v>11.250252907300474</v>
      </c>
      <c r="D282" s="6">
        <f t="shared" si="9"/>
        <v>-11.976301996934495</v>
      </c>
      <c r="E282" s="18"/>
      <c r="F282" s="18"/>
    </row>
    <row r="283" spans="2:6" x14ac:dyDescent="0.55000000000000004">
      <c r="B283" s="1">
        <v>271</v>
      </c>
      <c r="C283" s="6">
        <f t="shared" si="8"/>
        <v>-16.415801918107395</v>
      </c>
      <c r="D283" s="6">
        <f t="shared" si="9"/>
        <v>1.2334696532390264</v>
      </c>
      <c r="E283" s="18"/>
      <c r="F283" s="18"/>
    </row>
    <row r="284" spans="2:6" x14ac:dyDescent="0.55000000000000004">
      <c r="B284" s="1">
        <v>272</v>
      </c>
      <c r="C284" s="6">
        <f t="shared" si="8"/>
        <v>12.961344915636515</v>
      </c>
      <c r="D284" s="6">
        <f t="shared" si="9"/>
        <v>10.198212489348489</v>
      </c>
      <c r="E284" s="18"/>
      <c r="F284" s="18"/>
    </row>
    <row r="285" spans="2:6" x14ac:dyDescent="0.55000000000000004">
      <c r="B285" s="1">
        <v>273</v>
      </c>
      <c r="C285" s="6">
        <f t="shared" si="8"/>
        <v>-2.6730772778903025</v>
      </c>
      <c r="D285" s="6">
        <f t="shared" si="9"/>
        <v>-16.305050072490623</v>
      </c>
      <c r="E285" s="18"/>
      <c r="F285" s="18"/>
    </row>
    <row r="286" spans="2:6" x14ac:dyDescent="0.55000000000000004">
      <c r="B286" s="1">
        <v>274</v>
      </c>
      <c r="C286" s="6">
        <f t="shared" si="8"/>
        <v>-9.0596798425017937</v>
      </c>
      <c r="D286" s="6">
        <f t="shared" si="9"/>
        <v>13.853598851972244</v>
      </c>
      <c r="E286" s="18"/>
      <c r="F286" s="18"/>
    </row>
    <row r="287" spans="2:6" x14ac:dyDescent="0.55000000000000004">
      <c r="B287" s="1">
        <v>275</v>
      </c>
      <c r="C287" s="6">
        <f t="shared" si="8"/>
        <v>16.067618950948059</v>
      </c>
      <c r="D287" s="6">
        <f t="shared" si="9"/>
        <v>-4.1026358901485276</v>
      </c>
      <c r="E287" s="18"/>
      <c r="F287" s="18"/>
    </row>
    <row r="288" spans="2:6" x14ac:dyDescent="0.55000000000000004">
      <c r="B288" s="1">
        <v>276</v>
      </c>
      <c r="C288" s="6">
        <f t="shared" si="8"/>
        <v>-14.645453807683788</v>
      </c>
      <c r="D288" s="6">
        <f t="shared" si="9"/>
        <v>-7.8428746494509562</v>
      </c>
      <c r="E288" s="18"/>
      <c r="F288" s="18"/>
    </row>
    <row r="289" spans="2:6" x14ac:dyDescent="0.55000000000000004">
      <c r="B289" s="1">
        <v>277</v>
      </c>
      <c r="C289" s="6">
        <f t="shared" si="8"/>
        <v>5.5109628006321847</v>
      </c>
      <c r="D289" s="6">
        <f t="shared" si="9"/>
        <v>15.704435329232576</v>
      </c>
      <c r="E289" s="18"/>
      <c r="F289" s="18"/>
    </row>
    <row r="290" spans="2:6" x14ac:dyDescent="0.55000000000000004">
      <c r="B290" s="1">
        <v>278</v>
      </c>
      <c r="C290" s="6">
        <f t="shared" si="8"/>
        <v>6.5566869445206812</v>
      </c>
      <c r="D290" s="6">
        <f t="shared" si="9"/>
        <v>-15.330031190821238</v>
      </c>
      <c r="E290" s="18"/>
      <c r="F290" s="18"/>
    </row>
    <row r="291" spans="2:6" x14ac:dyDescent="0.55000000000000004">
      <c r="B291" s="1">
        <v>279</v>
      </c>
      <c r="C291" s="6">
        <f t="shared" si="8"/>
        <v>-15.21741592713748</v>
      </c>
      <c r="D291" s="6">
        <f t="shared" si="9"/>
        <v>6.886962501749414</v>
      </c>
      <c r="E291" s="18"/>
      <c r="F291" s="18"/>
    </row>
    <row r="292" spans="2:6" x14ac:dyDescent="0.55000000000000004">
      <c r="B292" s="1">
        <v>280</v>
      </c>
      <c r="C292" s="6">
        <f t="shared" si="8"/>
        <v>15.901242883286132</v>
      </c>
      <c r="D292" s="6">
        <f t="shared" si="9"/>
        <v>5.210611745922173</v>
      </c>
      <c r="E292" s="18"/>
      <c r="F292" s="18"/>
    </row>
    <row r="293" spans="2:6" x14ac:dyDescent="0.55000000000000004">
      <c r="B293" s="1">
        <v>281</v>
      </c>
      <c r="C293" s="6">
        <f t="shared" si="8"/>
        <v>-8.2197145091453052</v>
      </c>
      <c r="D293" s="6">
        <f t="shared" si="9"/>
        <v>-14.609459038176128</v>
      </c>
      <c r="E293" s="18"/>
      <c r="F293" s="18"/>
    </row>
    <row r="294" spans="2:6" x14ac:dyDescent="0.55000000000000004">
      <c r="B294" s="1">
        <v>282</v>
      </c>
      <c r="C294" s="6">
        <f t="shared" si="8"/>
        <v>-3.8146784861877414</v>
      </c>
      <c r="D294" s="6">
        <f t="shared" si="9"/>
        <v>16.353844442424428</v>
      </c>
      <c r="E294" s="18"/>
      <c r="F294" s="18"/>
    </row>
    <row r="295" spans="2:6" x14ac:dyDescent="0.55000000000000004">
      <c r="B295" s="1">
        <v>283</v>
      </c>
      <c r="C295" s="6">
        <f t="shared" si="8"/>
        <v>13.884428350416144</v>
      </c>
      <c r="D295" s="6">
        <f t="shared" si="9"/>
        <v>-9.4985603847193829</v>
      </c>
      <c r="E295" s="18"/>
      <c r="F295" s="18"/>
    </row>
    <row r="296" spans="2:6" x14ac:dyDescent="0.55000000000000004">
      <c r="B296" s="1">
        <v>284</v>
      </c>
      <c r="C296" s="6">
        <f t="shared" si="8"/>
        <v>-16.683481979169464</v>
      </c>
      <c r="D296" s="6">
        <f t="shared" si="9"/>
        <v>-2.3793757691310065</v>
      </c>
      <c r="E296" s="18"/>
      <c r="F296" s="18"/>
    </row>
    <row r="297" spans="2:6" x14ac:dyDescent="0.55000000000000004">
      <c r="B297" s="1">
        <v>285</v>
      </c>
      <c r="C297" s="6">
        <f t="shared" si="8"/>
        <v>10.713189246095876</v>
      </c>
      <c r="D297" s="6">
        <f t="shared" si="9"/>
        <v>13.0471290396522</v>
      </c>
      <c r="E297" s="18"/>
      <c r="F297" s="18"/>
    </row>
    <row r="298" spans="2:6" x14ac:dyDescent="0.55000000000000004">
      <c r="B298" s="1">
        <v>286</v>
      </c>
      <c r="C298" s="6">
        <f t="shared" si="8"/>
        <v>0.91557202169731988</v>
      </c>
      <c r="D298" s="6">
        <f t="shared" si="9"/>
        <v>-16.886732302997082</v>
      </c>
      <c r="E298" s="18"/>
      <c r="F298" s="18"/>
    </row>
    <row r="299" spans="2:6" x14ac:dyDescent="0.55000000000000004">
      <c r="B299" s="1">
        <v>287</v>
      </c>
      <c r="C299" s="6">
        <f t="shared" si="8"/>
        <v>-12.103276278042893</v>
      </c>
      <c r="D299" s="6">
        <f t="shared" si="9"/>
        <v>11.853721075567965</v>
      </c>
      <c r="E299" s="18"/>
      <c r="F299" s="18"/>
    </row>
    <row r="300" spans="2:6" x14ac:dyDescent="0.55000000000000004">
      <c r="B300" s="1">
        <v>288</v>
      </c>
      <c r="C300" s="6">
        <f t="shared" si="8"/>
        <v>16.961135975136635</v>
      </c>
      <c r="D300" s="6">
        <f t="shared" si="9"/>
        <v>-0.56556735489749821</v>
      </c>
      <c r="E300" s="18"/>
      <c r="F300" s="18"/>
    </row>
    <row r="301" spans="2:6" x14ac:dyDescent="0.55000000000000004">
      <c r="B301" s="1">
        <v>289</v>
      </c>
      <c r="C301" s="6">
        <f t="shared" si="8"/>
        <v>-12.910787155289981</v>
      </c>
      <c r="D301" s="6">
        <f t="shared" si="9"/>
        <v>-11.059456362353409</v>
      </c>
      <c r="E301" s="18"/>
      <c r="F301" s="18"/>
    </row>
    <row r="302" spans="2:6" x14ac:dyDescent="0.55000000000000004">
      <c r="B302" s="1">
        <v>290</v>
      </c>
      <c r="C302" s="6">
        <f t="shared" si="8"/>
        <v>2.052665699339927</v>
      </c>
      <c r="D302" s="6">
        <f t="shared" si="9"/>
        <v>16.905222965898833</v>
      </c>
      <c r="E302" s="18"/>
      <c r="F302" s="18"/>
    </row>
    <row r="303" spans="2:6" x14ac:dyDescent="0.55000000000000004">
      <c r="B303" s="1">
        <v>291</v>
      </c>
      <c r="C303" s="6">
        <f t="shared" si="8"/>
        <v>9.9230807258593856</v>
      </c>
      <c r="D303" s="6">
        <f t="shared" si="9"/>
        <v>-13.87560697440216</v>
      </c>
      <c r="E303" s="18"/>
      <c r="F303" s="18"/>
    </row>
    <row r="304" spans="2:6" x14ac:dyDescent="0.55000000000000004">
      <c r="B304" s="1">
        <v>292</v>
      </c>
      <c r="C304" s="6">
        <f t="shared" si="8"/>
        <v>-16.718530669010612</v>
      </c>
      <c r="D304" s="6">
        <f t="shared" si="9"/>
        <v>3.5342230078691292</v>
      </c>
      <c r="E304" s="18"/>
      <c r="F304" s="18"/>
    </row>
    <row r="305" spans="2:6" x14ac:dyDescent="0.55000000000000004">
      <c r="B305" s="1">
        <v>293</v>
      </c>
      <c r="C305" s="6">
        <f t="shared" si="8"/>
        <v>14.740060978328076</v>
      </c>
      <c r="D305" s="6">
        <f t="shared" si="9"/>
        <v>8.7023331558364259</v>
      </c>
      <c r="E305" s="18"/>
      <c r="F305" s="18"/>
    </row>
    <row r="306" spans="2:6" x14ac:dyDescent="0.55000000000000004">
      <c r="B306" s="1">
        <v>294</v>
      </c>
      <c r="C306" s="6">
        <f t="shared" si="8"/>
        <v>-4.9987053723969854</v>
      </c>
      <c r="D306" s="6">
        <f t="shared" si="9"/>
        <v>-16.401614085204223</v>
      </c>
      <c r="E306" s="18"/>
      <c r="F306" s="18"/>
    </row>
    <row r="307" spans="2:6" x14ac:dyDescent="0.55000000000000004">
      <c r="B307" s="1">
        <v>295</v>
      </c>
      <c r="C307" s="6">
        <f t="shared" si="8"/>
        <v>-7.4061105943759467</v>
      </c>
      <c r="D307" s="6">
        <f t="shared" si="9"/>
        <v>15.496758559901238</v>
      </c>
      <c r="E307" s="18"/>
      <c r="F307" s="18"/>
    </row>
    <row r="308" spans="2:6" x14ac:dyDescent="0.55000000000000004">
      <c r="B308" s="1">
        <v>296</v>
      </c>
      <c r="C308" s="6">
        <f t="shared" si="8"/>
        <v>15.956048048413022</v>
      </c>
      <c r="D308" s="6">
        <f t="shared" si="9"/>
        <v>-6.4346352403795981</v>
      </c>
      <c r="E308" s="18"/>
      <c r="F308" s="18"/>
    </row>
    <row r="309" spans="2:6" x14ac:dyDescent="0.55000000000000004">
      <c r="B309" s="1">
        <v>297</v>
      </c>
      <c r="C309" s="6">
        <f t="shared" si="8"/>
        <v>-16.139100726467543</v>
      </c>
      <c r="D309" s="6">
        <f t="shared" si="9"/>
        <v>-6.0439579532732317</v>
      </c>
      <c r="E309" s="18"/>
      <c r="F309" s="18"/>
    </row>
    <row r="310" spans="2:6" x14ac:dyDescent="0.55000000000000004">
      <c r="B310" s="1">
        <v>298</v>
      </c>
      <c r="C310" s="6">
        <f t="shared" si="8"/>
        <v>7.8306817871410548</v>
      </c>
      <c r="D310" s="6">
        <f t="shared" si="9"/>
        <v>15.384421430412564</v>
      </c>
      <c r="E310" s="18"/>
      <c r="F310" s="18"/>
    </row>
    <row r="311" spans="2:6" x14ac:dyDescent="0.55000000000000004">
      <c r="B311" s="1">
        <v>299</v>
      </c>
      <c r="C311" s="6">
        <f t="shared" si="8"/>
        <v>4.6259974235698715</v>
      </c>
      <c r="D311" s="6">
        <f t="shared" si="9"/>
        <v>-16.661336916259899</v>
      </c>
      <c r="E311" s="18"/>
      <c r="F311" s="18"/>
    </row>
    <row r="312" spans="2:6" x14ac:dyDescent="0.55000000000000004">
      <c r="B312" s="1">
        <v>300</v>
      </c>
      <c r="C312" s="6">
        <f t="shared" si="8"/>
        <v>-14.690323322975548</v>
      </c>
      <c r="D312" s="6">
        <f t="shared" si="9"/>
        <v>9.1757506868070884</v>
      </c>
      <c r="E312" s="18"/>
      <c r="F312" s="18"/>
    </row>
    <row r="313" spans="2:6" x14ac:dyDescent="0.55000000000000004">
      <c r="B313" s="1">
        <v>301</v>
      </c>
      <c r="C313" s="6">
        <f t="shared" si="8"/>
        <v>17.058615480854421</v>
      </c>
      <c r="D313" s="6">
        <f t="shared" si="9"/>
        <v>3.1628528066215491</v>
      </c>
      <c r="E313" s="18"/>
      <c r="F313" s="18"/>
    </row>
    <row r="314" spans="2:6" x14ac:dyDescent="0.55000000000000004">
      <c r="B314" s="1">
        <v>302</v>
      </c>
      <c r="C314" s="6">
        <f t="shared" si="8"/>
        <v>-10.459072568643116</v>
      </c>
      <c r="D314" s="6">
        <f t="shared" si="9"/>
        <v>-13.878321260291427</v>
      </c>
      <c r="E314" s="18"/>
      <c r="F314" s="18"/>
    </row>
    <row r="315" spans="2:6" x14ac:dyDescent="0.55000000000000004">
      <c r="B315" s="1">
        <v>303</v>
      </c>
      <c r="C315" s="6">
        <f t="shared" si="8"/>
        <v>-1.6655694359303301</v>
      </c>
      <c r="D315" s="6">
        <f t="shared" si="9"/>
        <v>17.327027398088074</v>
      </c>
      <c r="E315" s="18"/>
      <c r="F315" s="18"/>
    </row>
    <row r="316" spans="2:6" x14ac:dyDescent="0.55000000000000004">
      <c r="B316" s="1">
        <v>304</v>
      </c>
      <c r="C316" s="6">
        <f t="shared" si="8"/>
        <v>12.953931607762375</v>
      </c>
      <c r="D316" s="6">
        <f t="shared" si="9"/>
        <v>-11.670289452340718</v>
      </c>
      <c r="E316" s="18"/>
      <c r="F316" s="18"/>
    </row>
    <row r="317" spans="2:6" x14ac:dyDescent="0.55000000000000004">
      <c r="B317" s="1">
        <v>305</v>
      </c>
      <c r="C317" s="6">
        <f t="shared" si="8"/>
        <v>-17.463642831111724</v>
      </c>
      <c r="D317" s="6">
        <f t="shared" si="9"/>
        <v>-0.14553029705183543</v>
      </c>
      <c r="E317" s="18"/>
      <c r="F317" s="18"/>
    </row>
    <row r="318" spans="2:6" x14ac:dyDescent="0.55000000000000004">
      <c r="B318" s="1">
        <v>306</v>
      </c>
      <c r="C318" s="6">
        <f t="shared" si="8"/>
        <v>12.799538467829127</v>
      </c>
      <c r="D318" s="6">
        <f t="shared" si="9"/>
        <v>11.923582306109283</v>
      </c>
      <c r="E318" s="18"/>
      <c r="F318" s="18"/>
    </row>
    <row r="319" spans="2:6" x14ac:dyDescent="0.55000000000000004">
      <c r="B319" s="1">
        <v>307</v>
      </c>
      <c r="C319" s="6">
        <f t="shared" si="8"/>
        <v>-1.3856310138492554</v>
      </c>
      <c r="D319" s="6">
        <f t="shared" si="9"/>
        <v>-17.466540203871489</v>
      </c>
      <c r="E319" s="18"/>
      <c r="F319" s="18"/>
    </row>
    <row r="320" spans="2:6" x14ac:dyDescent="0.55000000000000004">
      <c r="B320" s="1">
        <v>308</v>
      </c>
      <c r="C320" s="6">
        <f t="shared" si="8"/>
        <v>-10.794568221245923</v>
      </c>
      <c r="D320" s="6">
        <f t="shared" si="9"/>
        <v>13.837532183047225</v>
      </c>
      <c r="E320" s="18"/>
      <c r="F320" s="18"/>
    </row>
    <row r="321" spans="2:6" x14ac:dyDescent="0.55000000000000004">
      <c r="B321" s="1">
        <v>309</v>
      </c>
      <c r="C321" s="6">
        <f t="shared" si="8"/>
        <v>17.334827520770741</v>
      </c>
      <c r="D321" s="6">
        <f t="shared" si="9"/>
        <v>-2.9161198235205208</v>
      </c>
      <c r="E321" s="18"/>
      <c r="F321" s="18"/>
    </row>
    <row r="322" spans="2:6" x14ac:dyDescent="0.55000000000000004">
      <c r="B322" s="1">
        <v>310</v>
      </c>
      <c r="C322" s="6">
        <f t="shared" si="8"/>
        <v>-14.775634886267854</v>
      </c>
      <c r="D322" s="6">
        <f t="shared" si="9"/>
        <v>-9.5749994103239686</v>
      </c>
      <c r="E322" s="18"/>
      <c r="F322" s="18"/>
    </row>
    <row r="323" spans="2:6" x14ac:dyDescent="0.55000000000000004">
      <c r="B323" s="1">
        <v>311</v>
      </c>
      <c r="C323" s="6">
        <f t="shared" si="8"/>
        <v>4.4340717148404725</v>
      </c>
      <c r="D323" s="6">
        <f t="shared" si="9"/>
        <v>17.068655718235448</v>
      </c>
      <c r="E323" s="18"/>
      <c r="F323" s="18"/>
    </row>
    <row r="324" spans="2:6" x14ac:dyDescent="0.55000000000000004">
      <c r="B324" s="1">
        <v>312</v>
      </c>
      <c r="C324" s="6">
        <f t="shared" si="8"/>
        <v>8.2737426720517551</v>
      </c>
      <c r="D324" s="6">
        <f t="shared" si="9"/>
        <v>-15.605934198139819</v>
      </c>
      <c r="E324" s="18"/>
      <c r="F324" s="18"/>
    </row>
    <row r="325" spans="2:6" x14ac:dyDescent="0.55000000000000004">
      <c r="B325" s="1">
        <v>313</v>
      </c>
      <c r="C325" s="6">
        <f t="shared" si="8"/>
        <v>-16.669223897810685</v>
      </c>
      <c r="D325" s="6">
        <f t="shared" si="9"/>
        <v>5.9276449492743062</v>
      </c>
      <c r="E325" s="18"/>
      <c r="F325" s="18"/>
    </row>
    <row r="326" spans="2:6" x14ac:dyDescent="0.55000000000000004">
      <c r="B326" s="1">
        <v>314</v>
      </c>
      <c r="C326" s="6">
        <f t="shared" si="8"/>
        <v>16.321307422224873</v>
      </c>
      <c r="D326" s="6">
        <f t="shared" si="9"/>
        <v>6.900356804486802</v>
      </c>
      <c r="E326" s="18"/>
      <c r="F326" s="18"/>
    </row>
    <row r="327" spans="2:6" x14ac:dyDescent="0.55000000000000004">
      <c r="B327" s="1">
        <v>315</v>
      </c>
      <c r="C327" s="6">
        <f t="shared" si="8"/>
        <v>-7.3851132557094452</v>
      </c>
      <c r="D327" s="6">
        <f t="shared" si="9"/>
        <v>-16.138776353873446</v>
      </c>
      <c r="E327" s="18"/>
      <c r="F327" s="18"/>
    </row>
    <row r="328" spans="2:6" x14ac:dyDescent="0.55000000000000004">
      <c r="B328" s="1">
        <v>316</v>
      </c>
      <c r="C328" s="6">
        <f t="shared" si="8"/>
        <v>-5.4650220455514908</v>
      </c>
      <c r="D328" s="6">
        <f t="shared" si="9"/>
        <v>16.915482081266148</v>
      </c>
      <c r="E328" s="18"/>
      <c r="F328" s="18"/>
    </row>
    <row r="329" spans="2:6" x14ac:dyDescent="0.55000000000000004">
      <c r="B329" s="1">
        <v>317</v>
      </c>
      <c r="C329" s="6">
        <f t="shared" si="8"/>
        <v>15.480591373437708</v>
      </c>
      <c r="D329" s="6">
        <f t="shared" si="9"/>
        <v>-8.7949582562196458</v>
      </c>
      <c r="E329" s="18"/>
      <c r="F329" s="18"/>
    </row>
    <row r="330" spans="2:6" x14ac:dyDescent="0.55000000000000004">
      <c r="B330" s="1">
        <v>318</v>
      </c>
      <c r="C330" s="6">
        <f t="shared" si="8"/>
        <v>-17.383090129486352</v>
      </c>
      <c r="D330" s="6">
        <f t="shared" si="9"/>
        <v>-3.9784642200419729</v>
      </c>
      <c r="E330" s="18"/>
      <c r="F330" s="18"/>
    </row>
    <row r="331" spans="2:6" x14ac:dyDescent="0.55000000000000004">
      <c r="B331" s="1">
        <v>319</v>
      </c>
      <c r="C331" s="6">
        <f t="shared" si="8"/>
        <v>10.14596079811122</v>
      </c>
      <c r="D331" s="6">
        <f t="shared" si="9"/>
        <v>14.698961850525032</v>
      </c>
      <c r="E331" s="18"/>
      <c r="F331" s="18"/>
    </row>
    <row r="332" spans="2:6" x14ac:dyDescent="0.55000000000000004">
      <c r="B332" s="1">
        <v>320</v>
      </c>
      <c r="C332" s="6">
        <f t="shared" si="8"/>
        <v>2.4518741614753843</v>
      </c>
      <c r="D332" s="6">
        <f t="shared" si="9"/>
        <v>-17.719715378534989</v>
      </c>
      <c r="E332" s="18"/>
      <c r="F332" s="18"/>
    </row>
    <row r="333" spans="2:6" x14ac:dyDescent="0.55000000000000004">
      <c r="B333" s="1">
        <v>321</v>
      </c>
      <c r="C333" s="6">
        <f t="shared" ref="C333:C396" si="10">B333^$C$9*COS(2*PI()*B333/$C$8)</f>
        <v>-13.799167822406556</v>
      </c>
      <c r="D333" s="6">
        <f t="shared" ref="D333:D396" si="11">B333^$C$9*SIN(2*PI()*B333/$C$8)</f>
        <v>11.42729046664429</v>
      </c>
      <c r="E333" s="18"/>
      <c r="F333" s="18"/>
    </row>
    <row r="334" spans="2:6" x14ac:dyDescent="0.55000000000000004">
      <c r="B334" s="1">
        <v>322</v>
      </c>
      <c r="C334" s="6">
        <f t="shared" si="10"/>
        <v>17.921933725895567</v>
      </c>
      <c r="D334" s="6">
        <f t="shared" si="11"/>
        <v>0.89682301743824266</v>
      </c>
      <c r="E334" s="18"/>
      <c r="F334" s="18"/>
    </row>
    <row r="335" spans="2:6" x14ac:dyDescent="0.55000000000000004">
      <c r="B335" s="1">
        <v>323</v>
      </c>
      <c r="C335" s="6">
        <f t="shared" si="10"/>
        <v>-12.628592563166153</v>
      </c>
      <c r="D335" s="6">
        <f t="shared" si="11"/>
        <v>-12.787441099514183</v>
      </c>
      <c r="E335" s="18"/>
      <c r="F335" s="18"/>
    </row>
    <row r="336" spans="2:6" x14ac:dyDescent="0.55000000000000004">
      <c r="B336" s="1">
        <v>324</v>
      </c>
      <c r="C336" s="6">
        <f t="shared" si="10"/>
        <v>0.67482591717206242</v>
      </c>
      <c r="D336" s="6">
        <f t="shared" si="11"/>
        <v>17.987345829263216</v>
      </c>
      <c r="E336" s="18"/>
      <c r="F336" s="18"/>
    </row>
    <row r="337" spans="2:6" x14ac:dyDescent="0.55000000000000004">
      <c r="B337" s="1">
        <v>325</v>
      </c>
      <c r="C337" s="6">
        <f t="shared" si="10"/>
        <v>11.670922224056616</v>
      </c>
      <c r="D337" s="6">
        <f t="shared" si="11"/>
        <v>-13.740071849885696</v>
      </c>
      <c r="E337" s="18"/>
      <c r="F337" s="18"/>
    </row>
    <row r="338" spans="2:6" x14ac:dyDescent="0.55000000000000004">
      <c r="B338" s="1">
        <v>326</v>
      </c>
      <c r="C338" s="6">
        <f t="shared" si="10"/>
        <v>-17.91460192821604</v>
      </c>
      <c r="D338" s="6">
        <f t="shared" si="11"/>
        <v>2.2510081638141859</v>
      </c>
      <c r="E338" s="18"/>
      <c r="F338" s="18"/>
    </row>
    <row r="339" spans="2:6" x14ac:dyDescent="0.55000000000000004">
      <c r="B339" s="1">
        <v>327</v>
      </c>
      <c r="C339" s="6">
        <f t="shared" si="10"/>
        <v>14.752572384268333</v>
      </c>
      <c r="D339" s="6">
        <f t="shared" si="11"/>
        <v>10.457610054258256</v>
      </c>
      <c r="E339" s="18"/>
      <c r="F339" s="18"/>
    </row>
    <row r="340" spans="2:6" x14ac:dyDescent="0.55000000000000004">
      <c r="B340" s="1">
        <v>328</v>
      </c>
      <c r="C340" s="6">
        <f t="shared" si="10"/>
        <v>-3.8195511202170271</v>
      </c>
      <c r="D340" s="6">
        <f t="shared" si="11"/>
        <v>-17.703418574954636</v>
      </c>
      <c r="E340" s="18"/>
      <c r="F340" s="18"/>
    </row>
    <row r="341" spans="2:6" x14ac:dyDescent="0.55000000000000004">
      <c r="B341" s="1">
        <v>329</v>
      </c>
      <c r="C341" s="6">
        <f t="shared" si="10"/>
        <v>-9.1563043308212926</v>
      </c>
      <c r="D341" s="6">
        <f t="shared" si="11"/>
        <v>15.657652793486744</v>
      </c>
      <c r="E341" s="18"/>
      <c r="F341" s="18"/>
    </row>
    <row r="342" spans="2:6" x14ac:dyDescent="0.55000000000000004">
      <c r="B342" s="1">
        <v>330</v>
      </c>
      <c r="C342" s="6">
        <f t="shared" si="10"/>
        <v>17.354587098499909</v>
      </c>
      <c r="D342" s="6">
        <f t="shared" si="11"/>
        <v>-5.3682684955747559</v>
      </c>
      <c r="E342" s="18"/>
      <c r="F342" s="18"/>
    </row>
    <row r="343" spans="2:6" x14ac:dyDescent="0.55000000000000004">
      <c r="B343" s="1">
        <v>331</v>
      </c>
      <c r="C343" s="6">
        <f t="shared" si="10"/>
        <v>-16.447656371937061</v>
      </c>
      <c r="D343" s="6">
        <f t="shared" si="11"/>
        <v>-7.7765416394872009</v>
      </c>
      <c r="E343" s="18"/>
      <c r="F343" s="18"/>
    </row>
    <row r="344" spans="2:6" x14ac:dyDescent="0.55000000000000004">
      <c r="B344" s="1">
        <v>332</v>
      </c>
      <c r="C344" s="6">
        <f t="shared" si="10"/>
        <v>6.8850553856058072</v>
      </c>
      <c r="D344" s="6">
        <f t="shared" si="11"/>
        <v>16.869973691062487</v>
      </c>
      <c r="E344" s="18"/>
      <c r="F344" s="18"/>
    </row>
    <row r="345" spans="2:6" x14ac:dyDescent="0.55000000000000004">
      <c r="B345" s="1">
        <v>333</v>
      </c>
      <c r="C345" s="6">
        <f t="shared" si="10"/>
        <v>6.3285252377530901</v>
      </c>
      <c r="D345" s="6">
        <f t="shared" si="11"/>
        <v>-17.115775422548701</v>
      </c>
      <c r="E345" s="18"/>
      <c r="F345" s="18"/>
    </row>
    <row r="346" spans="2:6" x14ac:dyDescent="0.55000000000000004">
      <c r="B346" s="1">
        <v>334</v>
      </c>
      <c r="C346" s="6">
        <f t="shared" si="10"/>
        <v>-16.252511070820049</v>
      </c>
      <c r="D346" s="6">
        <f t="shared" si="11"/>
        <v>8.3579832431557151</v>
      </c>
      <c r="E346" s="18"/>
      <c r="F346" s="18"/>
    </row>
    <row r="347" spans="2:6" x14ac:dyDescent="0.55000000000000004">
      <c r="B347" s="1">
        <v>335</v>
      </c>
      <c r="C347" s="6">
        <f t="shared" si="10"/>
        <v>17.656109305038218</v>
      </c>
      <c r="D347" s="6">
        <f t="shared" si="11"/>
        <v>4.8230492645776373</v>
      </c>
      <c r="E347" s="18"/>
      <c r="F347" s="18"/>
    </row>
    <row r="348" spans="2:6" x14ac:dyDescent="0.55000000000000004">
      <c r="B348" s="1">
        <v>336</v>
      </c>
      <c r="C348" s="6">
        <f t="shared" si="10"/>
        <v>-9.7753939971376838</v>
      </c>
      <c r="D348" s="6">
        <f t="shared" si="11"/>
        <v>-15.506181741509561</v>
      </c>
      <c r="E348" s="18"/>
      <c r="F348" s="18"/>
    </row>
    <row r="349" spans="2:6" x14ac:dyDescent="0.55000000000000004">
      <c r="B349" s="1">
        <v>337</v>
      </c>
      <c r="C349" s="6">
        <f t="shared" si="10"/>
        <v>-3.2714178988646929</v>
      </c>
      <c r="D349" s="6">
        <f t="shared" si="11"/>
        <v>18.063715701122725</v>
      </c>
      <c r="E349" s="18"/>
      <c r="F349" s="18"/>
    </row>
    <row r="350" spans="2:6" x14ac:dyDescent="0.55000000000000004">
      <c r="B350" s="1">
        <v>338</v>
      </c>
      <c r="C350" s="6">
        <f t="shared" si="10"/>
        <v>14.635992935612069</v>
      </c>
      <c r="D350" s="6">
        <f t="shared" si="11"/>
        <v>-11.125992575438541</v>
      </c>
      <c r="E350" s="18"/>
      <c r="F350" s="18"/>
    </row>
    <row r="351" spans="2:6" x14ac:dyDescent="0.55000000000000004">
      <c r="B351" s="1">
        <v>339</v>
      </c>
      <c r="C351" s="6">
        <f t="shared" si="10"/>
        <v>-18.334654657691832</v>
      </c>
      <c r="D351" s="6">
        <f t="shared" si="11"/>
        <v>-1.6853600752299609</v>
      </c>
      <c r="E351" s="18"/>
      <c r="F351" s="18"/>
    </row>
    <row r="352" spans="2:6" x14ac:dyDescent="0.55000000000000004">
      <c r="B352" s="1">
        <v>340</v>
      </c>
      <c r="C352" s="6">
        <f t="shared" si="10"/>
        <v>12.398937096303889</v>
      </c>
      <c r="D352" s="6">
        <f t="shared" si="11"/>
        <v>13.647943393856059</v>
      </c>
      <c r="E352" s="18"/>
      <c r="F352" s="18"/>
    </row>
    <row r="353" spans="2:6" x14ac:dyDescent="0.55000000000000004">
      <c r="B353" s="1">
        <v>341</v>
      </c>
      <c r="C353" s="6">
        <f t="shared" si="10"/>
        <v>7.6940403523417328E-2</v>
      </c>
      <c r="D353" s="6">
        <f t="shared" si="11"/>
        <v>-18.466025023656435</v>
      </c>
      <c r="E353" s="18"/>
      <c r="F353" s="18"/>
    </row>
    <row r="354" spans="2:6" x14ac:dyDescent="0.55000000000000004">
      <c r="B354" s="1">
        <v>342</v>
      </c>
      <c r="C354" s="6">
        <f t="shared" si="10"/>
        <v>-12.548982198872839</v>
      </c>
      <c r="D354" s="6">
        <f t="shared" si="11"/>
        <v>13.583926007321027</v>
      </c>
      <c r="E354" s="18"/>
      <c r="F354" s="18"/>
    </row>
    <row r="355" spans="2:6" x14ac:dyDescent="0.55000000000000004">
      <c r="B355" s="1">
        <v>343</v>
      </c>
      <c r="C355" s="6">
        <f t="shared" si="10"/>
        <v>18.455992954135951</v>
      </c>
      <c r="D355" s="6">
        <f t="shared" si="11"/>
        <v>-1.5415330281522497</v>
      </c>
      <c r="E355" s="18"/>
      <c r="F355" s="18"/>
    </row>
    <row r="356" spans="2:6" x14ac:dyDescent="0.55000000000000004">
      <c r="B356" s="1">
        <v>344</v>
      </c>
      <c r="C356" s="6">
        <f t="shared" si="10"/>
        <v>-14.671281471529806</v>
      </c>
      <c r="D356" s="6">
        <f t="shared" si="11"/>
        <v>-11.346959944546658</v>
      </c>
      <c r="E356" s="18"/>
      <c r="F356" s="18"/>
    </row>
    <row r="357" spans="2:6" x14ac:dyDescent="0.55000000000000004">
      <c r="B357" s="1">
        <v>345</v>
      </c>
      <c r="C357" s="6">
        <f t="shared" si="10"/>
        <v>3.1576032592608323</v>
      </c>
      <c r="D357" s="6">
        <f t="shared" si="11"/>
        <v>18.303812216505754</v>
      </c>
      <c r="E357" s="18"/>
      <c r="F357" s="18"/>
    </row>
    <row r="358" spans="2:6" x14ac:dyDescent="0.55000000000000004">
      <c r="B358" s="1">
        <v>346</v>
      </c>
      <c r="C358" s="6">
        <f t="shared" si="10"/>
        <v>10.050572584276454</v>
      </c>
      <c r="D358" s="6">
        <f t="shared" si="11"/>
        <v>-15.652028326328526</v>
      </c>
      <c r="E358" s="18"/>
      <c r="F358" s="18"/>
    </row>
    <row r="359" spans="2:6" x14ac:dyDescent="0.55000000000000004">
      <c r="B359" s="1">
        <v>347</v>
      </c>
      <c r="C359" s="6">
        <f t="shared" si="10"/>
        <v>-18.009836096049355</v>
      </c>
      <c r="D359" s="6">
        <f t="shared" si="11"/>
        <v>4.7587607413524919</v>
      </c>
      <c r="E359" s="18"/>
      <c r="F359" s="18"/>
    </row>
    <row r="360" spans="2:6" x14ac:dyDescent="0.55000000000000004">
      <c r="B360" s="1">
        <v>348</v>
      </c>
      <c r="C360" s="6">
        <f t="shared" si="10"/>
        <v>16.517967972222465</v>
      </c>
      <c r="D360" s="6">
        <f t="shared" si="11"/>
        <v>8.6692983608036549</v>
      </c>
      <c r="E360" s="18"/>
      <c r="F360" s="18"/>
    </row>
    <row r="361" spans="2:6" x14ac:dyDescent="0.55000000000000004">
      <c r="B361" s="1">
        <v>349</v>
      </c>
      <c r="C361" s="6">
        <f t="shared" si="10"/>
        <v>-6.3325405543372915</v>
      </c>
      <c r="D361" s="6">
        <f t="shared" si="11"/>
        <v>-17.57552076405344</v>
      </c>
      <c r="E361" s="18"/>
      <c r="F361" s="18"/>
    </row>
    <row r="362" spans="2:6" x14ac:dyDescent="0.55000000000000004">
      <c r="B362" s="1">
        <v>350</v>
      </c>
      <c r="C362" s="6">
        <f t="shared" si="10"/>
        <v>-7.2133282766251083</v>
      </c>
      <c r="D362" s="6">
        <f t="shared" si="11"/>
        <v>17.26174658525726</v>
      </c>
      <c r="E362" s="18"/>
      <c r="F362" s="18"/>
    </row>
    <row r="363" spans="2:6" x14ac:dyDescent="0.55000000000000004">
      <c r="B363" s="1">
        <v>351</v>
      </c>
      <c r="C363" s="6">
        <f t="shared" si="10"/>
        <v>17.003420037717849</v>
      </c>
      <c r="D363" s="6">
        <f t="shared" si="11"/>
        <v>-7.8666197963887345</v>
      </c>
      <c r="E363" s="18"/>
      <c r="F363" s="18"/>
    </row>
    <row r="364" spans="2:6" x14ac:dyDescent="0.55000000000000004">
      <c r="B364" s="1">
        <v>352</v>
      </c>
      <c r="C364" s="6">
        <f t="shared" si="10"/>
        <v>-17.876917088578011</v>
      </c>
      <c r="D364" s="6">
        <f t="shared" si="11"/>
        <v>-5.6934906171967521</v>
      </c>
      <c r="E364" s="18"/>
      <c r="F364" s="18"/>
    </row>
    <row r="365" spans="2:6" x14ac:dyDescent="0.55000000000000004">
      <c r="B365" s="1">
        <v>353</v>
      </c>
      <c r="C365" s="6">
        <f t="shared" si="10"/>
        <v>9.3489143844484968</v>
      </c>
      <c r="D365" s="6">
        <f t="shared" si="11"/>
        <v>16.297171528589001</v>
      </c>
      <c r="E365" s="18"/>
      <c r="F365" s="18"/>
    </row>
    <row r="366" spans="2:6" x14ac:dyDescent="0.55000000000000004">
      <c r="B366" s="1">
        <v>354</v>
      </c>
      <c r="C366" s="6">
        <f t="shared" si="10"/>
        <v>4.121170088311926</v>
      </c>
      <c r="D366" s="6">
        <f t="shared" si="11"/>
        <v>-18.357994364940932</v>
      </c>
      <c r="E366" s="18"/>
      <c r="F366" s="18"/>
    </row>
    <row r="367" spans="2:6" x14ac:dyDescent="0.55000000000000004">
      <c r="B367" s="1">
        <v>355</v>
      </c>
      <c r="C367" s="6">
        <f t="shared" si="10"/>
        <v>-15.461474243953855</v>
      </c>
      <c r="D367" s="6">
        <f t="shared" si="11"/>
        <v>10.767674503046218</v>
      </c>
      <c r="E367" s="18"/>
      <c r="F367" s="18"/>
    </row>
    <row r="368" spans="2:6" x14ac:dyDescent="0.55000000000000004">
      <c r="B368" s="1">
        <v>356</v>
      </c>
      <c r="C368" s="6">
        <f t="shared" si="10"/>
        <v>18.700503242554305</v>
      </c>
      <c r="D368" s="6">
        <f t="shared" si="11"/>
        <v>2.5082221742134312</v>
      </c>
      <c r="E368" s="18"/>
      <c r="F368" s="18"/>
    </row>
    <row r="369" spans="2:6" x14ac:dyDescent="0.55000000000000004">
      <c r="B369" s="1">
        <v>357</v>
      </c>
      <c r="C369" s="6">
        <f t="shared" si="10"/>
        <v>-12.111577946058953</v>
      </c>
      <c r="D369" s="6">
        <f t="shared" si="11"/>
        <v>-14.502057773176137</v>
      </c>
      <c r="E369" s="18"/>
      <c r="F369" s="18"/>
    </row>
    <row r="370" spans="2:6" x14ac:dyDescent="0.55000000000000004">
      <c r="B370" s="1">
        <v>358</v>
      </c>
      <c r="C370" s="6">
        <f t="shared" si="10"/>
        <v>-0.86688336363685314</v>
      </c>
      <c r="D370" s="6">
        <f t="shared" si="11"/>
        <v>18.901018841159058</v>
      </c>
      <c r="E370" s="18"/>
      <c r="F370" s="18"/>
    </row>
    <row r="371" spans="2:6" x14ac:dyDescent="0.55000000000000004">
      <c r="B371" s="1">
        <v>359</v>
      </c>
      <c r="C371" s="6">
        <f t="shared" si="10"/>
        <v>13.425643257688293</v>
      </c>
      <c r="D371" s="6">
        <f t="shared" si="11"/>
        <v>-13.369820609016744</v>
      </c>
      <c r="E371" s="18"/>
      <c r="F371" s="18"/>
    </row>
    <row r="372" spans="2:6" x14ac:dyDescent="0.55000000000000004">
      <c r="B372" s="1">
        <v>360</v>
      </c>
      <c r="C372" s="6">
        <f t="shared" si="10"/>
        <v>-18.957198923360075</v>
      </c>
      <c r="D372" s="6">
        <f t="shared" si="11"/>
        <v>0.79032207368616181</v>
      </c>
      <c r="E372" s="18"/>
      <c r="F372" s="18"/>
    </row>
    <row r="373" spans="2:6" x14ac:dyDescent="0.55000000000000004">
      <c r="B373" s="1">
        <v>361</v>
      </c>
      <c r="C373" s="6">
        <f t="shared" si="10"/>
        <v>14.532203408242841</v>
      </c>
      <c r="D373" s="6">
        <f t="shared" si="11"/>
        <v>12.239896408934806</v>
      </c>
      <c r="E373" s="18"/>
      <c r="F373" s="18"/>
    </row>
    <row r="374" spans="2:6" x14ac:dyDescent="0.55000000000000004">
      <c r="B374" s="1">
        <v>362</v>
      </c>
      <c r="C374" s="6">
        <f t="shared" si="10"/>
        <v>-2.4506780467477798</v>
      </c>
      <c r="D374" s="6">
        <f t="shared" si="11"/>
        <v>-18.867807957237332</v>
      </c>
      <c r="E374" s="18"/>
      <c r="F374" s="18"/>
    </row>
    <row r="375" spans="2:6" x14ac:dyDescent="0.55000000000000004">
      <c r="B375" s="1">
        <v>363</v>
      </c>
      <c r="C375" s="6">
        <f t="shared" si="10"/>
        <v>-10.95337290234548</v>
      </c>
      <c r="D375" s="6">
        <f t="shared" si="11"/>
        <v>15.589214927704464</v>
      </c>
      <c r="E375" s="18"/>
      <c r="F375" s="18"/>
    </row>
    <row r="376" spans="2:6" x14ac:dyDescent="0.55000000000000004">
      <c r="B376" s="1">
        <v>364</v>
      </c>
      <c r="C376" s="6">
        <f t="shared" si="10"/>
        <v>18.632732660027447</v>
      </c>
      <c r="D376" s="6">
        <f t="shared" si="11"/>
        <v>-4.1013746012704715</v>
      </c>
      <c r="E376" s="18"/>
      <c r="F376" s="18"/>
    </row>
    <row r="377" spans="2:6" x14ac:dyDescent="0.55000000000000004">
      <c r="B377" s="1">
        <v>365</v>
      </c>
      <c r="C377" s="6">
        <f t="shared" si="10"/>
        <v>-16.532109124741186</v>
      </c>
      <c r="D377" s="6">
        <f t="shared" si="11"/>
        <v>-9.5754565367740678</v>
      </c>
      <c r="E377" s="18"/>
      <c r="F377" s="18"/>
    </row>
    <row r="378" spans="2:6" x14ac:dyDescent="0.55000000000000004">
      <c r="B378" s="1">
        <v>366</v>
      </c>
      <c r="C378" s="6">
        <f t="shared" si="10"/>
        <v>5.7296071186441857</v>
      </c>
      <c r="D378" s="6">
        <f t="shared" si="11"/>
        <v>18.252988858430335</v>
      </c>
      <c r="E378" s="18"/>
      <c r="F378" s="18"/>
    </row>
    <row r="379" spans="2:6" x14ac:dyDescent="0.55000000000000004">
      <c r="B379" s="1">
        <v>367</v>
      </c>
      <c r="C379" s="6">
        <f t="shared" si="10"/>
        <v>8.1162906076659738</v>
      </c>
      <c r="D379" s="6">
        <f t="shared" si="11"/>
        <v>-17.352977461286379</v>
      </c>
      <c r="E379" s="18"/>
      <c r="F379" s="18"/>
    </row>
    <row r="380" spans="2:6" x14ac:dyDescent="0.55000000000000004">
      <c r="B380" s="1">
        <v>368</v>
      </c>
      <c r="C380" s="6">
        <f t="shared" si="10"/>
        <v>-17.730719568522293</v>
      </c>
      <c r="D380" s="6">
        <f t="shared" si="11"/>
        <v>7.3226759850768017</v>
      </c>
      <c r="E380" s="18"/>
      <c r="F380" s="18"/>
    </row>
    <row r="381" spans="2:6" x14ac:dyDescent="0.55000000000000004">
      <c r="B381" s="1">
        <v>369</v>
      </c>
      <c r="C381" s="6">
        <f t="shared" si="10"/>
        <v>18.044814868050164</v>
      </c>
      <c r="D381" s="6">
        <f t="shared" si="11"/>
        <v>6.5867029975394971</v>
      </c>
      <c r="E381" s="18"/>
      <c r="F381" s="18"/>
    </row>
    <row r="382" spans="2:6" x14ac:dyDescent="0.55000000000000004">
      <c r="B382" s="1">
        <v>370</v>
      </c>
      <c r="C382" s="6">
        <f t="shared" si="10"/>
        <v>-8.868085952993054</v>
      </c>
      <c r="D382" s="6">
        <f t="shared" si="11"/>
        <v>-17.069184266693217</v>
      </c>
      <c r="E382" s="18"/>
      <c r="F382" s="18"/>
    </row>
    <row r="383" spans="2:6" x14ac:dyDescent="0.55000000000000004">
      <c r="B383" s="1">
        <v>371</v>
      </c>
      <c r="C383" s="6">
        <f t="shared" si="10"/>
        <v>-4.9981255390926274</v>
      </c>
      <c r="D383" s="6">
        <f t="shared" si="11"/>
        <v>18.601578994684029</v>
      </c>
      <c r="E383" s="18"/>
      <c r="F383" s="18"/>
    </row>
    <row r="384" spans="2:6" x14ac:dyDescent="0.55000000000000004">
      <c r="B384" s="1">
        <v>372</v>
      </c>
      <c r="C384" s="6">
        <f t="shared" si="10"/>
        <v>16.272739392056195</v>
      </c>
      <c r="D384" s="6">
        <f t="shared" si="11"/>
        <v>-10.353644415287913</v>
      </c>
      <c r="E384" s="18"/>
      <c r="F384" s="18"/>
    </row>
    <row r="385" spans="2:6" x14ac:dyDescent="0.55000000000000004">
      <c r="B385" s="1">
        <v>373</v>
      </c>
      <c r="C385" s="6">
        <f t="shared" si="10"/>
        <v>-19.018242249029814</v>
      </c>
      <c r="D385" s="6">
        <f t="shared" si="11"/>
        <v>-3.362508253851189</v>
      </c>
      <c r="E385" s="18"/>
      <c r="F385" s="18"/>
    </row>
    <row r="386" spans="2:6" x14ac:dyDescent="0.55000000000000004">
      <c r="B386" s="1">
        <v>374</v>
      </c>
      <c r="C386" s="6">
        <f t="shared" si="10"/>
        <v>11.767557817996137</v>
      </c>
      <c r="D386" s="6">
        <f t="shared" si="11"/>
        <v>15.346810189746856</v>
      </c>
      <c r="E386" s="18"/>
      <c r="F386" s="18"/>
    </row>
    <row r="387" spans="2:6" x14ac:dyDescent="0.55000000000000004">
      <c r="B387" s="1">
        <v>375</v>
      </c>
      <c r="C387" s="6">
        <f t="shared" si="10"/>
        <v>1.6922291123629802</v>
      </c>
      <c r="D387" s="6">
        <f t="shared" si="11"/>
        <v>-19.290836182790812</v>
      </c>
      <c r="E387" s="18"/>
      <c r="F387" s="18"/>
    </row>
    <row r="388" spans="2:6" x14ac:dyDescent="0.55000000000000004">
      <c r="B388" s="1">
        <v>376</v>
      </c>
      <c r="C388" s="6">
        <f t="shared" si="10"/>
        <v>-14.297854073012843</v>
      </c>
      <c r="D388" s="6">
        <f t="shared" si="11"/>
        <v>13.098525447806333</v>
      </c>
      <c r="E388" s="18"/>
      <c r="F388" s="18"/>
    </row>
    <row r="389" spans="2:6" x14ac:dyDescent="0.55000000000000004">
      <c r="B389" s="1">
        <v>377</v>
      </c>
      <c r="C389" s="6">
        <f t="shared" si="10"/>
        <v>19.416487838947599</v>
      </c>
      <c r="D389" s="6">
        <f t="shared" si="11"/>
        <v>-9.248308720408502E-12</v>
      </c>
      <c r="E389" s="18"/>
      <c r="F389" s="18"/>
    </row>
    <row r="390" spans="2:6" x14ac:dyDescent="0.55000000000000004">
      <c r="B390" s="1">
        <v>378</v>
      </c>
      <c r="C390" s="6">
        <f t="shared" si="10"/>
        <v>-14.33582984793852</v>
      </c>
      <c r="D390" s="6">
        <f t="shared" si="11"/>
        <v>-13.133315749305467</v>
      </c>
      <c r="E390" s="18"/>
      <c r="F390" s="18"/>
    </row>
    <row r="391" spans="2:6" x14ac:dyDescent="0.55000000000000004">
      <c r="B391" s="1">
        <v>379</v>
      </c>
      <c r="C391" s="6">
        <f t="shared" si="10"/>
        <v>1.7012303945693061</v>
      </c>
      <c r="D391" s="6">
        <f t="shared" si="11"/>
        <v>19.393447737434251</v>
      </c>
      <c r="E391" s="18"/>
      <c r="F391" s="18"/>
    </row>
    <row r="392" spans="2:6" x14ac:dyDescent="0.55000000000000004">
      <c r="B392" s="1">
        <v>380</v>
      </c>
      <c r="C392" s="6">
        <f t="shared" si="10"/>
        <v>11.861574421363347</v>
      </c>
      <c r="D392" s="6">
        <f t="shared" si="11"/>
        <v>-15.469423138774721</v>
      </c>
      <c r="E392" s="18"/>
      <c r="F392" s="18"/>
    </row>
    <row r="393" spans="2:6" x14ac:dyDescent="0.55000000000000004">
      <c r="B393" s="1">
        <v>381</v>
      </c>
      <c r="C393" s="6">
        <f t="shared" si="10"/>
        <v>-19.22110923967011</v>
      </c>
      <c r="D393" s="6">
        <f t="shared" si="11"/>
        <v>3.3983760234365499</v>
      </c>
      <c r="E393" s="18"/>
      <c r="F393" s="18"/>
    </row>
    <row r="394" spans="2:6" x14ac:dyDescent="0.55000000000000004">
      <c r="B394" s="1">
        <v>382</v>
      </c>
      <c r="C394" s="6">
        <f t="shared" si="10"/>
        <v>16.490008548437178</v>
      </c>
      <c r="D394" s="6">
        <f t="shared" si="11"/>
        <v>10.491883437804141</v>
      </c>
      <c r="E394" s="18"/>
      <c r="F394" s="18"/>
    </row>
    <row r="395" spans="2:6" x14ac:dyDescent="0.55000000000000004">
      <c r="B395" s="1">
        <v>383</v>
      </c>
      <c r="C395" s="6">
        <f t="shared" si="10"/>
        <v>-5.0783144901290322</v>
      </c>
      <c r="D395" s="6">
        <f t="shared" si="11"/>
        <v>-18.900019098914832</v>
      </c>
      <c r="E395" s="18"/>
      <c r="F395" s="18"/>
    </row>
    <row r="396" spans="2:6" x14ac:dyDescent="0.55000000000000004">
      <c r="B396" s="1">
        <v>384</v>
      </c>
      <c r="C396" s="6">
        <f t="shared" si="10"/>
        <v>-9.0343028286961289</v>
      </c>
      <c r="D396" s="6">
        <f t="shared" si="11"/>
        <v>17.389116492778264</v>
      </c>
      <c r="E396" s="18"/>
      <c r="F396" s="18"/>
    </row>
    <row r="397" spans="2:6" x14ac:dyDescent="0.55000000000000004">
      <c r="B397" s="1">
        <v>385</v>
      </c>
      <c r="C397" s="6">
        <f t="shared" ref="C397:C460" si="12">B397^$C$9*COS(2*PI()*B397/$C$8)</f>
        <v>18.431879071588213</v>
      </c>
      <c r="D397" s="6">
        <f t="shared" ref="D397:D460" si="13">B397^$C$9*SIN(2*PI()*B397/$C$8)</f>
        <v>-6.7279888443983324</v>
      </c>
      <c r="E397" s="18"/>
      <c r="F397" s="18"/>
    </row>
    <row r="398" spans="2:6" x14ac:dyDescent="0.55000000000000004">
      <c r="B398" s="1">
        <v>386</v>
      </c>
      <c r="C398" s="6">
        <f t="shared" si="12"/>
        <v>-18.159174583905536</v>
      </c>
      <c r="D398" s="6">
        <f t="shared" si="13"/>
        <v>-7.4996252193852495</v>
      </c>
      <c r="E398" s="18"/>
      <c r="F398" s="18"/>
    </row>
    <row r="399" spans="2:6" x14ac:dyDescent="0.55000000000000004">
      <c r="B399" s="1">
        <v>387</v>
      </c>
      <c r="C399" s="6">
        <f t="shared" si="12"/>
        <v>8.3345093694116503</v>
      </c>
      <c r="D399" s="6">
        <f t="shared" si="13"/>
        <v>17.819538534181781</v>
      </c>
      <c r="E399" s="18"/>
      <c r="F399" s="18"/>
    </row>
    <row r="400" spans="2:6" x14ac:dyDescent="0.55000000000000004">
      <c r="B400" s="1">
        <v>388</v>
      </c>
      <c r="C400" s="6">
        <f t="shared" si="12"/>
        <v>5.8992956698938732</v>
      </c>
      <c r="D400" s="6">
        <f t="shared" si="13"/>
        <v>-18.793570991144055</v>
      </c>
      <c r="E400" s="18"/>
      <c r="F400" s="18"/>
    </row>
    <row r="401" spans="2:6" x14ac:dyDescent="0.55000000000000004">
      <c r="B401" s="1">
        <v>389</v>
      </c>
      <c r="C401" s="6">
        <f t="shared" si="12"/>
        <v>-17.066978120593248</v>
      </c>
      <c r="D401" s="6">
        <f t="shared" si="13"/>
        <v>9.8852545658263882</v>
      </c>
      <c r="E401" s="18"/>
      <c r="F401" s="18"/>
    </row>
    <row r="402" spans="2:6" x14ac:dyDescent="0.55000000000000004">
      <c r="B402" s="1">
        <v>390</v>
      </c>
      <c r="C402" s="6">
        <f t="shared" si="12"/>
        <v>19.286710627681632</v>
      </c>
      <c r="D402" s="6">
        <f t="shared" si="13"/>
        <v>4.2453260374289759</v>
      </c>
      <c r="E402" s="18"/>
      <c r="F402" s="18"/>
    </row>
    <row r="403" spans="2:6" x14ac:dyDescent="0.55000000000000004">
      <c r="B403" s="1">
        <v>391</v>
      </c>
      <c r="C403" s="6">
        <f t="shared" si="12"/>
        <v>-11.367970539980059</v>
      </c>
      <c r="D403" s="6">
        <f t="shared" si="13"/>
        <v>-16.179284465085146</v>
      </c>
      <c r="E403" s="18"/>
      <c r="F403" s="18"/>
    </row>
    <row r="404" spans="2:6" x14ac:dyDescent="0.55000000000000004">
      <c r="B404" s="1">
        <v>392</v>
      </c>
      <c r="C404" s="6">
        <f t="shared" si="12"/>
        <v>-2.5502045050545221</v>
      </c>
      <c r="D404" s="6">
        <f t="shared" si="13"/>
        <v>19.634063689985311</v>
      </c>
      <c r="E404" s="18"/>
      <c r="F404" s="18"/>
    </row>
    <row r="405" spans="2:6" x14ac:dyDescent="0.55000000000000004">
      <c r="B405" s="1">
        <v>393</v>
      </c>
      <c r="C405" s="6">
        <f t="shared" si="12"/>
        <v>15.162616206181717</v>
      </c>
      <c r="D405" s="6">
        <f t="shared" si="13"/>
        <v>-12.770868012160943</v>
      </c>
      <c r="E405" s="18"/>
      <c r="F405" s="18"/>
    </row>
    <row r="406" spans="2:6" x14ac:dyDescent="0.55000000000000004">
      <c r="B406" s="1">
        <v>394</v>
      </c>
      <c r="C406" s="6">
        <f t="shared" si="12"/>
        <v>-19.832206134763659</v>
      </c>
      <c r="D406" s="6">
        <f t="shared" si="13"/>
        <v>-0.82680096047519414</v>
      </c>
      <c r="E406" s="18"/>
      <c r="F406" s="18"/>
    </row>
    <row r="407" spans="2:6" x14ac:dyDescent="0.55000000000000004">
      <c r="B407" s="1">
        <v>395</v>
      </c>
      <c r="C407" s="6">
        <f t="shared" si="12"/>
        <v>14.082716176192044</v>
      </c>
      <c r="D407" s="6">
        <f t="shared" si="13"/>
        <v>14.024161475853697</v>
      </c>
      <c r="E407" s="18"/>
      <c r="F407" s="18"/>
    </row>
    <row r="408" spans="2:6" x14ac:dyDescent="0.55000000000000004">
      <c r="B408" s="1">
        <v>396</v>
      </c>
      <c r="C408" s="6">
        <f t="shared" si="12"/>
        <v>-0.91173105567975254</v>
      </c>
      <c r="D408" s="6">
        <f t="shared" si="13"/>
        <v>-19.878851739527338</v>
      </c>
      <c r="E408" s="18"/>
      <c r="F408" s="18"/>
    </row>
    <row r="409" spans="2:6" x14ac:dyDescent="0.55000000000000004">
      <c r="B409" s="1">
        <v>397</v>
      </c>
      <c r="C409" s="6">
        <f t="shared" si="12"/>
        <v>-12.772087166064997</v>
      </c>
      <c r="D409" s="6">
        <f t="shared" si="13"/>
        <v>15.292932662587573</v>
      </c>
      <c r="E409" s="18"/>
      <c r="F409" s="18"/>
    </row>
    <row r="410" spans="2:6" x14ac:dyDescent="0.55000000000000004">
      <c r="B410" s="1">
        <v>398</v>
      </c>
      <c r="C410" s="6">
        <f t="shared" si="12"/>
        <v>19.772875457034715</v>
      </c>
      <c r="D410" s="6">
        <f t="shared" si="13"/>
        <v>-2.6520550824962421</v>
      </c>
      <c r="E410" s="18"/>
      <c r="F410" s="18"/>
    </row>
    <row r="411" spans="2:6" x14ac:dyDescent="0.55000000000000004">
      <c r="B411" s="1">
        <v>399</v>
      </c>
      <c r="C411" s="6">
        <f t="shared" si="12"/>
        <v>-16.39166888468597</v>
      </c>
      <c r="D411" s="6">
        <f t="shared" si="13"/>
        <v>-11.415480330446799</v>
      </c>
      <c r="E411" s="18"/>
      <c r="F411" s="18"/>
    </row>
    <row r="412" spans="2:6" x14ac:dyDescent="0.55000000000000004">
      <c r="B412" s="1">
        <v>400</v>
      </c>
      <c r="C412" s="6">
        <f t="shared" si="12"/>
        <v>4.3807543783072775</v>
      </c>
      <c r="D412" s="6">
        <f t="shared" si="13"/>
        <v>19.514327840767194</v>
      </c>
      <c r="E412" s="18"/>
      <c r="F412" s="18"/>
    </row>
    <row r="413" spans="2:6" x14ac:dyDescent="0.55000000000000004">
      <c r="B413" s="1">
        <v>401</v>
      </c>
      <c r="C413" s="6">
        <f t="shared" si="12"/>
        <v>9.9642821419220144</v>
      </c>
      <c r="D413" s="6">
        <f t="shared" si="13"/>
        <v>-17.369890080140809</v>
      </c>
      <c r="E413" s="18"/>
      <c r="F413" s="18"/>
    </row>
    <row r="414" spans="2:6" x14ac:dyDescent="0.55000000000000004">
      <c r="B414" s="1">
        <v>402</v>
      </c>
      <c r="C414" s="6">
        <f t="shared" si="12"/>
        <v>-19.104440387423104</v>
      </c>
      <c r="D414" s="6">
        <f t="shared" si="13"/>
        <v>6.0844356750151487</v>
      </c>
      <c r="E414" s="18"/>
      <c r="F414" s="18"/>
    </row>
    <row r="415" spans="2:6" x14ac:dyDescent="0.55000000000000004">
      <c r="B415" s="1">
        <v>403</v>
      </c>
      <c r="C415" s="6">
        <f t="shared" si="12"/>
        <v>18.219449398478904</v>
      </c>
      <c r="D415" s="6">
        <f t="shared" si="13"/>
        <v>8.4292148872992207</v>
      </c>
      <c r="E415" s="18"/>
      <c r="F415" s="18"/>
    </row>
    <row r="416" spans="2:6" x14ac:dyDescent="0.55000000000000004">
      <c r="B416" s="1">
        <v>404</v>
      </c>
      <c r="C416" s="6">
        <f t="shared" si="12"/>
        <v>-7.7498332424396423</v>
      </c>
      <c r="D416" s="6">
        <f t="shared" si="13"/>
        <v>-18.54562171280266</v>
      </c>
      <c r="E416" s="18"/>
      <c r="F416" s="18"/>
    </row>
    <row r="417" spans="2:6" x14ac:dyDescent="0.55000000000000004">
      <c r="B417" s="1">
        <v>405</v>
      </c>
      <c r="C417" s="6">
        <f t="shared" si="12"/>
        <v>-6.821702536481232</v>
      </c>
      <c r="D417" s="6">
        <f t="shared" si="13"/>
        <v>18.933155429134509</v>
      </c>
      <c r="E417" s="18"/>
      <c r="F417" s="18"/>
    </row>
    <row r="418" spans="2:6" x14ac:dyDescent="0.55000000000000004">
      <c r="B418" s="1">
        <v>406</v>
      </c>
      <c r="C418" s="6">
        <f t="shared" si="12"/>
        <v>17.84144454875436</v>
      </c>
      <c r="D418" s="6">
        <f t="shared" si="13"/>
        <v>-9.3639124522671295</v>
      </c>
      <c r="E418" s="18"/>
      <c r="F418" s="18"/>
    </row>
    <row r="419" spans="2:6" x14ac:dyDescent="0.55000000000000004">
      <c r="B419" s="1">
        <v>407</v>
      </c>
      <c r="C419" s="6">
        <f t="shared" si="12"/>
        <v>-19.504832613037159</v>
      </c>
      <c r="D419" s="6">
        <f t="shared" si="13"/>
        <v>-5.1537854764631188</v>
      </c>
      <c r="E419" s="18"/>
      <c r="F419" s="18"/>
    </row>
    <row r="420" spans="2:6" x14ac:dyDescent="0.55000000000000004">
      <c r="B420" s="1">
        <v>408</v>
      </c>
      <c r="C420" s="6">
        <f t="shared" si="12"/>
        <v>10.913972031306646</v>
      </c>
      <c r="D420" s="6">
        <f t="shared" si="13"/>
        <v>16.996623620585833</v>
      </c>
      <c r="E420" s="18"/>
      <c r="F420" s="18"/>
    </row>
    <row r="421" spans="2:6" x14ac:dyDescent="0.55000000000000004">
      <c r="B421" s="1">
        <v>409</v>
      </c>
      <c r="C421" s="6">
        <f t="shared" si="12"/>
        <v>3.4380300485989328</v>
      </c>
      <c r="D421" s="6">
        <f t="shared" si="13"/>
        <v>-19.929374033946246</v>
      </c>
      <c r="E421" s="18"/>
      <c r="F421" s="18"/>
    </row>
    <row r="422" spans="2:6" x14ac:dyDescent="0.55000000000000004">
      <c r="B422" s="1">
        <v>410</v>
      </c>
      <c r="C422" s="6">
        <f t="shared" si="12"/>
        <v>-16.016984535931542</v>
      </c>
      <c r="D422" s="6">
        <f t="shared" si="13"/>
        <v>12.387744200447868</v>
      </c>
      <c r="E422" s="18"/>
      <c r="F422" s="18"/>
    </row>
    <row r="423" spans="2:6" x14ac:dyDescent="0.55000000000000004">
      <c r="B423" s="1">
        <v>411</v>
      </c>
      <c r="C423" s="6">
        <f t="shared" si="12"/>
        <v>20.202786143077489</v>
      </c>
      <c r="D423" s="6">
        <f t="shared" si="13"/>
        <v>1.6874335711595367</v>
      </c>
      <c r="E423" s="18"/>
      <c r="F423" s="18"/>
    </row>
    <row r="424" spans="2:6" x14ac:dyDescent="0.55000000000000004">
      <c r="B424" s="1">
        <v>412</v>
      </c>
      <c r="C424" s="6">
        <f t="shared" si="12"/>
        <v>-13.773491908823329</v>
      </c>
      <c r="D424" s="6">
        <f t="shared" si="13"/>
        <v>-14.909423886843456</v>
      </c>
      <c r="E424" s="18"/>
      <c r="F424" s="18"/>
    </row>
    <row r="425" spans="2:6" x14ac:dyDescent="0.55000000000000004">
      <c r="B425" s="1">
        <v>413</v>
      </c>
      <c r="C425" s="6">
        <f t="shared" si="12"/>
        <v>8.4674432791556425E-2</v>
      </c>
      <c r="D425" s="6">
        <f t="shared" si="13"/>
        <v>20.32222503173389</v>
      </c>
      <c r="E425" s="18"/>
      <c r="F425" s="18"/>
    </row>
    <row r="426" spans="2:6" x14ac:dyDescent="0.55000000000000004">
      <c r="B426" s="1">
        <v>414</v>
      </c>
      <c r="C426" s="6">
        <f t="shared" si="12"/>
        <v>13.68186083649789</v>
      </c>
      <c r="D426" s="6">
        <f t="shared" si="13"/>
        <v>-15.06010239177361</v>
      </c>
      <c r="E426" s="18"/>
      <c r="F426" s="18"/>
    </row>
    <row r="427" spans="2:6" x14ac:dyDescent="0.55000000000000004">
      <c r="B427" s="1">
        <v>415</v>
      </c>
      <c r="C427" s="6">
        <f t="shared" si="12"/>
        <v>-20.28602393092612</v>
      </c>
      <c r="D427" s="6">
        <f t="shared" si="13"/>
        <v>1.8647340491052993</v>
      </c>
      <c r="E427" s="18"/>
      <c r="F427" s="18"/>
    </row>
    <row r="428" spans="2:6" x14ac:dyDescent="0.55000000000000004">
      <c r="B428" s="1">
        <v>416</v>
      </c>
      <c r="C428" s="6">
        <f t="shared" si="12"/>
        <v>16.237176306681924</v>
      </c>
      <c r="D428" s="6">
        <f t="shared" si="13"/>
        <v>12.343180529576934</v>
      </c>
      <c r="E428" s="18"/>
      <c r="F428" s="18"/>
    </row>
    <row r="429" spans="2:6" x14ac:dyDescent="0.55000000000000004">
      <c r="B429" s="1">
        <v>417</v>
      </c>
      <c r="C429" s="6">
        <f t="shared" si="12"/>
        <v>-3.6390590477791611</v>
      </c>
      <c r="D429" s="6">
        <f t="shared" si="13"/>
        <v>-20.093711684175641</v>
      </c>
      <c r="E429" s="18"/>
      <c r="F429" s="18"/>
    </row>
    <row r="430" spans="2:6" x14ac:dyDescent="0.55000000000000004">
      <c r="B430" s="1">
        <v>418</v>
      </c>
      <c r="C430" s="6">
        <f t="shared" si="12"/>
        <v>-10.903169730797876</v>
      </c>
      <c r="D430" s="6">
        <f t="shared" si="13"/>
        <v>17.295111731972504</v>
      </c>
      <c r="E430" s="18"/>
      <c r="F430" s="18"/>
    </row>
    <row r="431" spans="2:6" x14ac:dyDescent="0.55000000000000004">
      <c r="B431" s="1">
        <v>419</v>
      </c>
      <c r="C431" s="6">
        <f t="shared" si="12"/>
        <v>19.746022009096894</v>
      </c>
      <c r="D431" s="6">
        <f t="shared" si="13"/>
        <v>-5.3939424187009122</v>
      </c>
      <c r="E431" s="18"/>
      <c r="F431" s="18"/>
    </row>
    <row r="432" spans="2:6" x14ac:dyDescent="0.55000000000000004">
      <c r="B432" s="1">
        <v>420</v>
      </c>
      <c r="C432" s="6">
        <f t="shared" si="12"/>
        <v>-18.225182351672821</v>
      </c>
      <c r="D432" s="6">
        <f t="shared" si="13"/>
        <v>-9.3724451584564399</v>
      </c>
      <c r="E432" s="18"/>
      <c r="F432" s="18"/>
    </row>
    <row r="433" spans="2:6" x14ac:dyDescent="0.55000000000000004">
      <c r="B433" s="1">
        <v>421</v>
      </c>
      <c r="C433" s="6">
        <f t="shared" si="12"/>
        <v>7.1157625518997296</v>
      </c>
      <c r="D433" s="6">
        <f t="shared" si="13"/>
        <v>19.244893434492731</v>
      </c>
      <c r="E433" s="18"/>
      <c r="F433" s="18"/>
    </row>
    <row r="434" spans="2:6" x14ac:dyDescent="0.55000000000000004">
      <c r="B434" s="1">
        <v>422</v>
      </c>
      <c r="C434" s="6">
        <f t="shared" si="12"/>
        <v>7.7623750389866863</v>
      </c>
      <c r="D434" s="6">
        <f t="shared" si="13"/>
        <v>-19.019609190362363</v>
      </c>
      <c r="E434" s="18"/>
      <c r="F434" s="18"/>
    </row>
    <row r="435" spans="2:6" x14ac:dyDescent="0.55000000000000004">
      <c r="B435" s="1">
        <v>423</v>
      </c>
      <c r="C435" s="6">
        <f t="shared" si="12"/>
        <v>-18.593459872057782</v>
      </c>
      <c r="D435" s="6">
        <f t="shared" si="13"/>
        <v>8.7910892377552976</v>
      </c>
      <c r="E435" s="18"/>
      <c r="F435" s="18"/>
    </row>
    <row r="436" spans="2:6" x14ac:dyDescent="0.55000000000000004">
      <c r="B436" s="1">
        <v>424</v>
      </c>
      <c r="C436" s="6">
        <f t="shared" si="12"/>
        <v>19.671625311020421</v>
      </c>
      <c r="D436" s="6">
        <f t="shared" si="13"/>
        <v>6.0849944636639384</v>
      </c>
      <c r="E436" s="18"/>
      <c r="F436" s="18"/>
    </row>
    <row r="437" spans="2:6" x14ac:dyDescent="0.55000000000000004">
      <c r="B437" s="1">
        <v>425</v>
      </c>
      <c r="C437" s="6">
        <f t="shared" si="12"/>
        <v>-10.406788660606573</v>
      </c>
      <c r="D437" s="6">
        <f t="shared" si="13"/>
        <v>-17.796031854699255</v>
      </c>
      <c r="E437" s="18"/>
      <c r="F437" s="18"/>
    </row>
    <row r="438" spans="2:6" x14ac:dyDescent="0.55000000000000004">
      <c r="B438" s="1">
        <v>426</v>
      </c>
      <c r="C438" s="6">
        <f t="shared" si="12"/>
        <v>-4.3529151795059358</v>
      </c>
      <c r="D438" s="6">
        <f t="shared" si="13"/>
        <v>20.175532940669171</v>
      </c>
      <c r="E438" s="18"/>
      <c r="F438" s="18"/>
    </row>
    <row r="439" spans="2:6" x14ac:dyDescent="0.55000000000000004">
      <c r="B439" s="1">
        <v>427</v>
      </c>
      <c r="C439" s="6">
        <f t="shared" si="12"/>
        <v>16.858068546508267</v>
      </c>
      <c r="D439" s="6">
        <f t="shared" si="13"/>
        <v>-11.950126563397925</v>
      </c>
      <c r="E439" s="18"/>
      <c r="F439" s="18"/>
    </row>
    <row r="440" spans="2:6" x14ac:dyDescent="0.55000000000000004">
      <c r="B440" s="1">
        <v>428</v>
      </c>
      <c r="C440" s="6">
        <f t="shared" si="12"/>
        <v>-20.526752545544209</v>
      </c>
      <c r="D440" s="6">
        <f t="shared" si="13"/>
        <v>-2.5792304926071061</v>
      </c>
      <c r="E440" s="18"/>
      <c r="F440" s="18"/>
    </row>
    <row r="441" spans="2:6" x14ac:dyDescent="0.55000000000000004">
      <c r="B441" s="1">
        <v>429</v>
      </c>
      <c r="C441" s="6">
        <f t="shared" si="12"/>
        <v>13.408868771811864</v>
      </c>
      <c r="D441" s="6">
        <f t="shared" si="13"/>
        <v>15.786140701904586</v>
      </c>
      <c r="E441" s="18"/>
      <c r="F441" s="18"/>
    </row>
    <row r="442" spans="2:6" x14ac:dyDescent="0.55000000000000004">
      <c r="B442" s="1">
        <v>430</v>
      </c>
      <c r="C442" s="6">
        <f t="shared" si="12"/>
        <v>0.77741600303910718</v>
      </c>
      <c r="D442" s="6">
        <f t="shared" si="13"/>
        <v>-20.721863438364288</v>
      </c>
      <c r="E442" s="18"/>
      <c r="F442" s="18"/>
    </row>
    <row r="443" spans="2:6" x14ac:dyDescent="0.55000000000000004">
      <c r="B443" s="1">
        <v>431</v>
      </c>
      <c r="C443" s="6">
        <f t="shared" si="12"/>
        <v>-14.587884822854196</v>
      </c>
      <c r="D443" s="6">
        <f t="shared" si="13"/>
        <v>14.771378283529952</v>
      </c>
      <c r="E443" s="18"/>
      <c r="F443" s="18"/>
    </row>
    <row r="444" spans="2:6" x14ac:dyDescent="0.55000000000000004">
      <c r="B444" s="1">
        <v>432</v>
      </c>
      <c r="C444" s="6">
        <f t="shared" si="12"/>
        <v>20.758635564533311</v>
      </c>
      <c r="D444" s="6">
        <f t="shared" si="13"/>
        <v>-1.0387730738196661</v>
      </c>
      <c r="E444" s="18"/>
      <c r="F444" s="18"/>
    </row>
    <row r="445" spans="2:6" x14ac:dyDescent="0.55000000000000004">
      <c r="B445" s="1">
        <v>433</v>
      </c>
      <c r="C445" s="6">
        <f t="shared" si="12"/>
        <v>-16.026708151729359</v>
      </c>
      <c r="D445" s="6">
        <f t="shared" si="13"/>
        <v>-13.271948832755941</v>
      </c>
      <c r="E445" s="18"/>
      <c r="F445" s="18"/>
    </row>
    <row r="446" spans="2:6" x14ac:dyDescent="0.55000000000000004">
      <c r="B446" s="1">
        <v>434</v>
      </c>
      <c r="C446" s="6">
        <f t="shared" si="12"/>
        <v>2.8554072149689245</v>
      </c>
      <c r="D446" s="6">
        <f t="shared" si="13"/>
        <v>20.636052181478497</v>
      </c>
      <c r="E446" s="18"/>
      <c r="F446" s="18"/>
    </row>
    <row r="447" spans="2:6" x14ac:dyDescent="0.55000000000000004">
      <c r="B447" s="1">
        <v>435</v>
      </c>
      <c r="C447" s="6">
        <f t="shared" si="12"/>
        <v>11.847929653234333</v>
      </c>
      <c r="D447" s="6">
        <f t="shared" si="13"/>
        <v>-17.164689421367651</v>
      </c>
      <c r="E447" s="18"/>
      <c r="F447" s="18"/>
    </row>
    <row r="448" spans="2:6" x14ac:dyDescent="0.55000000000000004">
      <c r="B448" s="1">
        <v>436</v>
      </c>
      <c r="C448" s="6">
        <f t="shared" si="12"/>
        <v>-20.354323215163987</v>
      </c>
      <c r="D448" s="6">
        <f t="shared" si="13"/>
        <v>4.6584897179919196</v>
      </c>
      <c r="E448" s="18"/>
      <c r="F448" s="18"/>
    </row>
    <row r="449" spans="2:6" x14ac:dyDescent="0.55000000000000004">
      <c r="B449" s="1">
        <v>437</v>
      </c>
      <c r="C449" s="6">
        <f t="shared" si="12"/>
        <v>18.176013412462478</v>
      </c>
      <c r="D449" s="6">
        <f t="shared" si="13"/>
        <v>10.326303134713033</v>
      </c>
      <c r="E449" s="18"/>
      <c r="F449" s="18"/>
    </row>
    <row r="450" spans="2:6" x14ac:dyDescent="0.55000000000000004">
      <c r="B450" s="1">
        <v>438</v>
      </c>
      <c r="C450" s="6">
        <f t="shared" si="12"/>
        <v>-6.4340648238625011</v>
      </c>
      <c r="D450" s="6">
        <f t="shared" si="13"/>
        <v>-19.914889149637141</v>
      </c>
      <c r="E450" s="18"/>
      <c r="F450" s="18"/>
    </row>
    <row r="451" spans="2:6" x14ac:dyDescent="0.55000000000000004">
      <c r="B451" s="1">
        <v>439</v>
      </c>
      <c r="C451" s="6">
        <f t="shared" si="12"/>
        <v>-8.7183468532633182</v>
      </c>
      <c r="D451" s="6">
        <f t="shared" si="13"/>
        <v>19.0523076855848</v>
      </c>
      <c r="E451" s="18"/>
      <c r="F451" s="18"/>
    </row>
    <row r="452" spans="2:6" x14ac:dyDescent="0.55000000000000004">
      <c r="B452" s="1">
        <v>440</v>
      </c>
      <c r="C452" s="6">
        <f t="shared" si="12"/>
        <v>19.320415378676611</v>
      </c>
      <c r="D452" s="6">
        <f t="shared" si="13"/>
        <v>-8.1683259971303954</v>
      </c>
      <c r="E452" s="18"/>
      <c r="F452" s="18"/>
    </row>
    <row r="453" spans="2:6" x14ac:dyDescent="0.55000000000000004">
      <c r="B453" s="1">
        <v>441</v>
      </c>
      <c r="C453" s="6">
        <f t="shared" si="12"/>
        <v>-19.786205071311439</v>
      </c>
      <c r="D453" s="6">
        <f t="shared" si="13"/>
        <v>-7.0360563440047539</v>
      </c>
      <c r="E453" s="18"/>
      <c r="F453" s="18"/>
    </row>
    <row r="454" spans="2:6" x14ac:dyDescent="0.55000000000000004">
      <c r="B454" s="1">
        <v>442</v>
      </c>
      <c r="C454" s="6">
        <f t="shared" si="12"/>
        <v>9.8477235214574428</v>
      </c>
      <c r="D454" s="6">
        <f t="shared" si="13"/>
        <v>18.574777022751412</v>
      </c>
      <c r="E454" s="18"/>
      <c r="F454" s="18"/>
    </row>
    <row r="455" spans="2:6" x14ac:dyDescent="0.55000000000000004">
      <c r="B455" s="1">
        <v>443</v>
      </c>
      <c r="C455" s="6">
        <f t="shared" si="12"/>
        <v>5.2920553947632243</v>
      </c>
      <c r="D455" s="6">
        <f t="shared" si="13"/>
        <v>-20.371405196960698</v>
      </c>
      <c r="E455" s="18"/>
      <c r="F455" s="18"/>
    </row>
    <row r="456" spans="2:6" x14ac:dyDescent="0.55000000000000004">
      <c r="B456" s="1">
        <v>444</v>
      </c>
      <c r="C456" s="6">
        <f t="shared" si="12"/>
        <v>-17.68303428874599</v>
      </c>
      <c r="D456" s="6">
        <f t="shared" si="13"/>
        <v>11.459070570645492</v>
      </c>
      <c r="E456" s="18"/>
      <c r="F456" s="18"/>
    </row>
    <row r="457" spans="2:6" x14ac:dyDescent="0.55000000000000004">
      <c r="B457" s="1">
        <v>445</v>
      </c>
      <c r="C457" s="6">
        <f t="shared" si="12"/>
        <v>20.802728000007583</v>
      </c>
      <c r="D457" s="6">
        <f t="shared" si="13"/>
        <v>3.4995010726817277</v>
      </c>
      <c r="E457" s="18"/>
      <c r="F457" s="18"/>
    </row>
    <row r="458" spans="2:6" x14ac:dyDescent="0.55000000000000004">
      <c r="B458" s="1">
        <v>446</v>
      </c>
      <c r="C458" s="6">
        <f t="shared" si="12"/>
        <v>-12.9896469233086</v>
      </c>
      <c r="D458" s="6">
        <f t="shared" si="13"/>
        <v>-16.651398524081376</v>
      </c>
      <c r="E458" s="18"/>
      <c r="F458" s="18"/>
    </row>
    <row r="459" spans="2:6" x14ac:dyDescent="0.55000000000000004">
      <c r="B459" s="1">
        <v>447</v>
      </c>
      <c r="C459" s="6">
        <f t="shared" si="12"/>
        <v>-1.6719842003195193</v>
      </c>
      <c r="D459" s="6">
        <f t="shared" si="13"/>
        <v>21.076158777962409</v>
      </c>
      <c r="E459" s="18"/>
      <c r="F459" s="18"/>
    </row>
    <row r="460" spans="2:6" x14ac:dyDescent="0.55000000000000004">
      <c r="B460" s="1">
        <v>448</v>
      </c>
      <c r="C460" s="6">
        <f t="shared" si="12"/>
        <v>15.487189189895521</v>
      </c>
      <c r="D460" s="6">
        <f t="shared" si="13"/>
        <v>-14.427299504632993</v>
      </c>
      <c r="E460" s="18"/>
      <c r="F460" s="18"/>
    </row>
    <row r="461" spans="2:6" x14ac:dyDescent="0.55000000000000004">
      <c r="B461" s="1">
        <v>449</v>
      </c>
      <c r="C461" s="6">
        <f t="shared" ref="C461:C524" si="14">B461^$C$9*COS(2*PI()*B461/$C$8)</f>
        <v>-21.188884388642503</v>
      </c>
      <c r="D461" s="6">
        <f t="shared" ref="D461:D524" si="15">B461^$C$9*SIN(2*PI()*B461/$C$8)</f>
        <v>0.17657396394130373</v>
      </c>
      <c r="E461" s="18"/>
      <c r="F461" s="18"/>
    </row>
    <row r="462" spans="2:6" x14ac:dyDescent="0.55000000000000004">
      <c r="B462" s="1">
        <v>450</v>
      </c>
      <c r="C462" s="6">
        <f t="shared" si="14"/>
        <v>15.760538959831123</v>
      </c>
      <c r="D462" s="6">
        <f t="shared" si="15"/>
        <v>14.198782049726848</v>
      </c>
      <c r="E462" s="18"/>
      <c r="F462" s="18"/>
    </row>
    <row r="463" spans="2:6" x14ac:dyDescent="0.55000000000000004">
      <c r="B463" s="1">
        <v>451</v>
      </c>
      <c r="C463" s="6">
        <f t="shared" si="14"/>
        <v>-2.0320280536089368</v>
      </c>
      <c r="D463" s="6">
        <f t="shared" si="15"/>
        <v>-21.139320282103355</v>
      </c>
      <c r="E463" s="18"/>
      <c r="F463" s="18"/>
    </row>
    <row r="464" spans="2:6" x14ac:dyDescent="0.55000000000000004">
      <c r="B464" s="1">
        <v>452</v>
      </c>
      <c r="C464" s="6">
        <f t="shared" si="14"/>
        <v>-12.795548939737253</v>
      </c>
      <c r="D464" s="6">
        <f t="shared" si="15"/>
        <v>16.978631491695346</v>
      </c>
      <c r="E464" s="18"/>
      <c r="F464" s="18"/>
    </row>
    <row r="465" spans="2:6" x14ac:dyDescent="0.55000000000000004">
      <c r="B465" s="1">
        <v>453</v>
      </c>
      <c r="C465" s="6">
        <f t="shared" si="14"/>
        <v>20.927128115661723</v>
      </c>
      <c r="D465" s="6">
        <f t="shared" si="15"/>
        <v>-3.8801171155882064</v>
      </c>
      <c r="E465" s="18"/>
      <c r="F465" s="18"/>
    </row>
    <row r="466" spans="2:6" x14ac:dyDescent="0.55000000000000004">
      <c r="B466" s="1">
        <v>454</v>
      </c>
      <c r="C466" s="6">
        <f t="shared" si="14"/>
        <v>-18.071685228332591</v>
      </c>
      <c r="D466" s="6">
        <f t="shared" si="15"/>
        <v>-11.287789553675493</v>
      </c>
      <c r="E466" s="18"/>
      <c r="F466" s="18"/>
    </row>
    <row r="467" spans="2:6" x14ac:dyDescent="0.55000000000000004">
      <c r="B467" s="1">
        <v>455</v>
      </c>
      <c r="C467" s="6">
        <f t="shared" si="14"/>
        <v>5.706574491057653</v>
      </c>
      <c r="D467" s="6">
        <f t="shared" si="15"/>
        <v>20.553223775797559</v>
      </c>
      <c r="E467" s="18"/>
      <c r="F467" s="18"/>
    </row>
    <row r="468" spans="2:6" x14ac:dyDescent="0.55000000000000004">
      <c r="B468" s="1">
        <v>456</v>
      </c>
      <c r="C468" s="6">
        <f t="shared" si="14"/>
        <v>9.6866557396241912</v>
      </c>
      <c r="D468" s="6">
        <f t="shared" si="15"/>
        <v>-19.030730426917557</v>
      </c>
      <c r="E468" s="18"/>
      <c r="F468" s="18"/>
    </row>
    <row r="469" spans="2:6" x14ac:dyDescent="0.55000000000000004">
      <c r="B469" s="1">
        <v>457</v>
      </c>
      <c r="C469" s="6">
        <f t="shared" si="14"/>
        <v>-20.019775704713325</v>
      </c>
      <c r="D469" s="6">
        <f t="shared" si="15"/>
        <v>7.4972382070313115</v>
      </c>
      <c r="E469" s="18"/>
      <c r="F469" s="18"/>
    </row>
    <row r="470" spans="2:6" x14ac:dyDescent="0.55000000000000004">
      <c r="B470" s="1">
        <v>458</v>
      </c>
      <c r="C470" s="6">
        <f t="shared" si="14"/>
        <v>19.847792864406856</v>
      </c>
      <c r="D470" s="6">
        <f t="shared" si="15"/>
        <v>8.0040688659956061</v>
      </c>
      <c r="E470" s="18"/>
      <c r="F470" s="18"/>
    </row>
    <row r="471" spans="2:6" x14ac:dyDescent="0.55000000000000004">
      <c r="B471" s="1">
        <v>459</v>
      </c>
      <c r="C471" s="6">
        <f t="shared" si="14"/>
        <v>-9.2381610226246984</v>
      </c>
      <c r="D471" s="6">
        <f t="shared" si="15"/>
        <v>-19.330193504464919</v>
      </c>
      <c r="E471" s="18"/>
      <c r="F471" s="18"/>
    </row>
    <row r="472" spans="2:6" x14ac:dyDescent="0.55000000000000004">
      <c r="B472" s="1">
        <v>460</v>
      </c>
      <c r="C472" s="6">
        <f t="shared" si="14"/>
        <v>-6.2526308704882556</v>
      </c>
      <c r="D472" s="6">
        <f t="shared" si="15"/>
        <v>20.515959816626111</v>
      </c>
      <c r="E472" s="18"/>
      <c r="F472" s="18"/>
    </row>
    <row r="473" spans="2:6" x14ac:dyDescent="0.55000000000000004">
      <c r="B473" s="1">
        <v>461</v>
      </c>
      <c r="C473" s="6">
        <f t="shared" si="14"/>
        <v>18.489106867140794</v>
      </c>
      <c r="D473" s="6">
        <f t="shared" si="15"/>
        <v>-10.915719273389508</v>
      </c>
      <c r="E473" s="18"/>
      <c r="F473" s="18"/>
    </row>
    <row r="474" spans="2:6" x14ac:dyDescent="0.55000000000000004">
      <c r="B474" s="1">
        <v>462</v>
      </c>
      <c r="C474" s="6">
        <f t="shared" si="14"/>
        <v>-21.029438082534753</v>
      </c>
      <c r="D474" s="6">
        <f t="shared" si="15"/>
        <v>-4.4455296571766292</v>
      </c>
      <c r="E474" s="18"/>
      <c r="F474" s="18"/>
    </row>
    <row r="475" spans="2:6" x14ac:dyDescent="0.55000000000000004">
      <c r="B475" s="1">
        <v>463</v>
      </c>
      <c r="C475" s="6">
        <f t="shared" si="14"/>
        <v>12.516719662886103</v>
      </c>
      <c r="D475" s="6">
        <f t="shared" si="15"/>
        <v>17.502334955105859</v>
      </c>
      <c r="E475" s="18"/>
      <c r="F475" s="18"/>
    </row>
    <row r="476" spans="2:6" x14ac:dyDescent="0.55000000000000004">
      <c r="B476" s="1">
        <v>464</v>
      </c>
      <c r="C476" s="6">
        <f t="shared" si="14"/>
        <v>2.5964395539062508</v>
      </c>
      <c r="D476" s="6">
        <f t="shared" si="15"/>
        <v>-21.383603570093399</v>
      </c>
      <c r="E476" s="18"/>
      <c r="F476" s="18"/>
    </row>
    <row r="477" spans="2:6" x14ac:dyDescent="0.55000000000000004">
      <c r="B477" s="1">
        <v>465</v>
      </c>
      <c r="C477" s="6">
        <f t="shared" si="14"/>
        <v>-16.376846430199702</v>
      </c>
      <c r="D477" s="6">
        <f t="shared" si="15"/>
        <v>14.028503163262117</v>
      </c>
      <c r="E477" s="18"/>
      <c r="F477" s="18"/>
    </row>
    <row r="478" spans="2:6" x14ac:dyDescent="0.55000000000000004">
      <c r="B478" s="1">
        <v>466</v>
      </c>
      <c r="C478" s="6">
        <f t="shared" si="14"/>
        <v>21.575042024088813</v>
      </c>
      <c r="D478" s="6">
        <f t="shared" si="15"/>
        <v>0.71941758305012271</v>
      </c>
      <c r="E478" s="18"/>
      <c r="F478" s="18"/>
    </row>
    <row r="479" spans="2:6" x14ac:dyDescent="0.55000000000000004">
      <c r="B479" s="1">
        <v>467</v>
      </c>
      <c r="C479" s="6">
        <f t="shared" si="14"/>
        <v>-15.439045205893136</v>
      </c>
      <c r="D479" s="6">
        <f t="shared" si="15"/>
        <v>-15.120710404289483</v>
      </c>
      <c r="E479" s="18"/>
      <c r="F479" s="18"/>
    </row>
    <row r="480" spans="2:6" x14ac:dyDescent="0.55000000000000004">
      <c r="B480" s="1">
        <v>468</v>
      </c>
      <c r="C480" s="6">
        <f t="shared" si="14"/>
        <v>1.1712036654267168</v>
      </c>
      <c r="D480" s="6">
        <f t="shared" si="15"/>
        <v>21.601580543425314</v>
      </c>
      <c r="E480" s="18"/>
      <c r="F480" s="18"/>
    </row>
    <row r="481" spans="2:6" x14ac:dyDescent="0.55000000000000004">
      <c r="B481" s="1">
        <v>469</v>
      </c>
      <c r="C481" s="6">
        <f t="shared" si="14"/>
        <v>13.74303865537275</v>
      </c>
      <c r="D481" s="6">
        <f t="shared" si="15"/>
        <v>-16.737051368653031</v>
      </c>
      <c r="E481" s="18"/>
      <c r="F481" s="18"/>
    </row>
    <row r="482" spans="2:6" x14ac:dyDescent="0.55000000000000004">
      <c r="B482" s="1">
        <v>470</v>
      </c>
      <c r="C482" s="6">
        <f t="shared" si="14"/>
        <v>-21.462309605750896</v>
      </c>
      <c r="D482" s="6">
        <f t="shared" si="15"/>
        <v>3.0609257401794236</v>
      </c>
      <c r="E482" s="18"/>
      <c r="F482" s="18"/>
    </row>
    <row r="483" spans="2:6" x14ac:dyDescent="0.55000000000000004">
      <c r="B483" s="1">
        <v>471</v>
      </c>
      <c r="C483" s="6">
        <f t="shared" si="14"/>
        <v>17.912047798312976</v>
      </c>
      <c r="D483" s="6">
        <f t="shared" si="15"/>
        <v>12.253919522787445</v>
      </c>
      <c r="E483" s="18"/>
      <c r="F483" s="18"/>
    </row>
    <row r="484" spans="2:6" x14ac:dyDescent="0.55000000000000004">
      <c r="B484" s="1">
        <v>472</v>
      </c>
      <c r="C484" s="6">
        <f t="shared" si="14"/>
        <v>-4.9351957723704558</v>
      </c>
      <c r="D484" s="6">
        <f t="shared" si="15"/>
        <v>-21.157595390033734</v>
      </c>
      <c r="E484" s="18"/>
      <c r="F484" s="18"/>
    </row>
    <row r="485" spans="2:6" x14ac:dyDescent="0.55000000000000004">
      <c r="B485" s="1">
        <v>473</v>
      </c>
      <c r="C485" s="6">
        <f t="shared" si="14"/>
        <v>-10.664343961332923</v>
      </c>
      <c r="D485" s="6">
        <f t="shared" si="15"/>
        <v>18.954465644654352</v>
      </c>
      <c r="E485" s="18"/>
      <c r="F485" s="18"/>
    </row>
    <row r="486" spans="2:6" x14ac:dyDescent="0.55000000000000004">
      <c r="B486" s="1">
        <v>474</v>
      </c>
      <c r="C486" s="6">
        <f t="shared" si="14"/>
        <v>20.689082262364629</v>
      </c>
      <c r="D486" s="6">
        <f t="shared" si="15"/>
        <v>-6.7795187986397121</v>
      </c>
      <c r="E486" s="18"/>
      <c r="F486" s="18"/>
    </row>
    <row r="487" spans="2:6" x14ac:dyDescent="0.55000000000000004">
      <c r="B487" s="1">
        <v>475</v>
      </c>
      <c r="C487" s="6">
        <f t="shared" si="14"/>
        <v>-19.855718826473442</v>
      </c>
      <c r="D487" s="6">
        <f t="shared" si="15"/>
        <v>-8.9861242971610515</v>
      </c>
      <c r="E487" s="18"/>
      <c r="F487" s="18"/>
    </row>
    <row r="488" spans="2:6" x14ac:dyDescent="0.55000000000000004">
      <c r="B488" s="1">
        <v>476</v>
      </c>
      <c r="C488" s="6">
        <f t="shared" si="14"/>
        <v>8.5795700945050672</v>
      </c>
      <c r="D488" s="6">
        <f t="shared" si="15"/>
        <v>20.059685366263206</v>
      </c>
      <c r="E488" s="18"/>
      <c r="F488" s="18"/>
    </row>
    <row r="489" spans="2:6" x14ac:dyDescent="0.55000000000000004">
      <c r="B489" s="1">
        <v>477</v>
      </c>
      <c r="C489" s="6">
        <f t="shared" si="14"/>
        <v>7.2318062870729927</v>
      </c>
      <c r="D489" s="6">
        <f t="shared" si="15"/>
        <v>-20.60827449900286</v>
      </c>
      <c r="E489" s="18"/>
      <c r="F489" s="18"/>
    </row>
    <row r="490" spans="2:6" x14ac:dyDescent="0.55000000000000004">
      <c r="B490" s="1">
        <v>478</v>
      </c>
      <c r="C490" s="6">
        <f t="shared" si="14"/>
        <v>-19.273573335540302</v>
      </c>
      <c r="D490" s="6">
        <f t="shared" si="15"/>
        <v>10.321306645941199</v>
      </c>
      <c r="E490" s="18"/>
      <c r="F490" s="18"/>
    </row>
    <row r="491" spans="2:6" x14ac:dyDescent="0.55000000000000004">
      <c r="B491" s="1">
        <v>479</v>
      </c>
      <c r="C491" s="6">
        <f t="shared" si="14"/>
        <v>21.205715646553458</v>
      </c>
      <c r="D491" s="6">
        <f t="shared" si="15"/>
        <v>5.4145751373046673</v>
      </c>
      <c r="E491" s="18"/>
      <c r="F491" s="18"/>
    </row>
    <row r="492" spans="2:6" x14ac:dyDescent="0.55000000000000004">
      <c r="B492" s="1">
        <v>480</v>
      </c>
      <c r="C492" s="6">
        <f t="shared" si="14"/>
        <v>-11.991076890368332</v>
      </c>
      <c r="D492" s="6">
        <f t="shared" si="15"/>
        <v>-18.336141224621787</v>
      </c>
      <c r="E492" s="18"/>
      <c r="F492" s="18"/>
    </row>
    <row r="493" spans="2:6" x14ac:dyDescent="0.55000000000000004">
      <c r="B493" s="1">
        <v>481</v>
      </c>
      <c r="C493" s="6">
        <f t="shared" si="14"/>
        <v>-3.5481561874353074</v>
      </c>
      <c r="D493" s="6">
        <f t="shared" si="15"/>
        <v>21.642795283178291</v>
      </c>
      <c r="E493" s="18"/>
      <c r="F493" s="18"/>
    </row>
    <row r="494" spans="2:6" x14ac:dyDescent="0.55000000000000004">
      <c r="B494" s="1">
        <v>482</v>
      </c>
      <c r="C494" s="6">
        <f t="shared" si="14"/>
        <v>17.25397382771672</v>
      </c>
      <c r="D494" s="6">
        <f t="shared" si="15"/>
        <v>-13.575727868238465</v>
      </c>
      <c r="E494" s="18"/>
      <c r="F494" s="18"/>
    </row>
    <row r="495" spans="2:6" x14ac:dyDescent="0.55000000000000004">
      <c r="B495" s="1">
        <v>483</v>
      </c>
      <c r="C495" s="6">
        <f t="shared" si="14"/>
        <v>-21.915481807430723</v>
      </c>
      <c r="D495" s="6">
        <f t="shared" si="15"/>
        <v>-1.6467110093070265</v>
      </c>
      <c r="E495" s="18"/>
      <c r="F495" s="18"/>
    </row>
    <row r="496" spans="2:6" x14ac:dyDescent="0.55000000000000004">
      <c r="B496" s="1">
        <v>484</v>
      </c>
      <c r="C496" s="6">
        <f t="shared" si="14"/>
        <v>15.062708943266834</v>
      </c>
      <c r="D496" s="6">
        <f t="shared" si="15"/>
        <v>16.034799633622782</v>
      </c>
      <c r="E496" s="18"/>
      <c r="F496" s="18"/>
    </row>
    <row r="497" spans="2:6" x14ac:dyDescent="0.55000000000000004">
      <c r="B497" s="1">
        <v>485</v>
      </c>
      <c r="C497" s="6">
        <f t="shared" si="14"/>
        <v>-0.2752702907554947</v>
      </c>
      <c r="D497" s="6">
        <f t="shared" si="15"/>
        <v>-22.020995124358645</v>
      </c>
      <c r="E497" s="18"/>
      <c r="F497" s="18"/>
    </row>
    <row r="498" spans="2:6" x14ac:dyDescent="0.55000000000000004">
      <c r="B498" s="1">
        <v>486</v>
      </c>
      <c r="C498" s="6">
        <f t="shared" si="14"/>
        <v>-14.687435736678786</v>
      </c>
      <c r="D498" s="6">
        <f t="shared" si="15"/>
        <v>16.440171272858773</v>
      </c>
      <c r="E498" s="18"/>
      <c r="F498" s="18"/>
    </row>
    <row r="499" spans="2:6" x14ac:dyDescent="0.55000000000000004">
      <c r="B499" s="1">
        <v>487</v>
      </c>
      <c r="C499" s="6">
        <f t="shared" si="14"/>
        <v>21.957833218127774</v>
      </c>
      <c r="D499" s="6">
        <f t="shared" si="15"/>
        <v>-2.2030797454664266</v>
      </c>
      <c r="E499" s="18"/>
      <c r="F499" s="18"/>
    </row>
    <row r="500" spans="2:6" x14ac:dyDescent="0.55000000000000004">
      <c r="B500" s="1">
        <v>488</v>
      </c>
      <c r="C500" s="6">
        <f t="shared" si="14"/>
        <v>-17.697062240105115</v>
      </c>
      <c r="D500" s="6">
        <f t="shared" si="15"/>
        <v>-13.221724095965916</v>
      </c>
      <c r="E500" s="18"/>
      <c r="F500" s="18"/>
    </row>
    <row r="501" spans="2:6" x14ac:dyDescent="0.55000000000000004">
      <c r="B501" s="1">
        <v>489</v>
      </c>
      <c r="C501" s="6">
        <f t="shared" si="14"/>
        <v>4.1219043286055115</v>
      </c>
      <c r="D501" s="6">
        <f t="shared" si="15"/>
        <v>21.72578893172405</v>
      </c>
      <c r="E501" s="18"/>
      <c r="F501" s="18"/>
    </row>
    <row r="502" spans="2:6" x14ac:dyDescent="0.55000000000000004">
      <c r="B502" s="1">
        <v>490</v>
      </c>
      <c r="C502" s="6">
        <f t="shared" si="14"/>
        <v>11.648459603544572</v>
      </c>
      <c r="D502" s="6">
        <f t="shared" si="15"/>
        <v>-18.823214094957063</v>
      </c>
      <c r="E502" s="18"/>
      <c r="F502" s="18"/>
    </row>
    <row r="503" spans="2:6" x14ac:dyDescent="0.55000000000000004">
      <c r="B503" s="1">
        <v>491</v>
      </c>
      <c r="C503" s="6">
        <f t="shared" si="14"/>
        <v>-21.325956785374824</v>
      </c>
      <c r="D503" s="6">
        <f t="shared" si="15"/>
        <v>6.0169400186743962</v>
      </c>
      <c r="E503" s="18"/>
      <c r="F503" s="18"/>
    </row>
    <row r="504" spans="2:6" x14ac:dyDescent="0.55000000000000004">
      <c r="B504" s="1">
        <v>492</v>
      </c>
      <c r="C504" s="6">
        <f t="shared" si="14"/>
        <v>19.809426094260342</v>
      </c>
      <c r="D504" s="6">
        <f t="shared" si="15"/>
        <v>9.9793104880065506</v>
      </c>
      <c r="E504" s="18"/>
      <c r="F504" s="18"/>
    </row>
    <row r="505" spans="2:6" x14ac:dyDescent="0.55000000000000004">
      <c r="B505" s="1">
        <v>493</v>
      </c>
      <c r="C505" s="6">
        <f t="shared" si="14"/>
        <v>-7.8735062441081523</v>
      </c>
      <c r="D505" s="6">
        <f t="shared" si="15"/>
        <v>-20.760729742087342</v>
      </c>
      <c r="E505" s="18"/>
      <c r="F505" s="18"/>
    </row>
    <row r="506" spans="2:6" x14ac:dyDescent="0.55000000000000004">
      <c r="B506" s="1">
        <v>494</v>
      </c>
      <c r="C506" s="6">
        <f t="shared" si="14"/>
        <v>-8.2267316411037346</v>
      </c>
      <c r="D506" s="6">
        <f t="shared" si="15"/>
        <v>20.647539478234755</v>
      </c>
      <c r="E506" s="18"/>
      <c r="F506" s="18"/>
    </row>
    <row r="507" spans="2:6" x14ac:dyDescent="0.55000000000000004">
      <c r="B507" s="1">
        <v>495</v>
      </c>
      <c r="C507" s="6">
        <f t="shared" si="14"/>
        <v>20.033785906538537</v>
      </c>
      <c r="D507" s="6">
        <f t="shared" si="15"/>
        <v>-9.677159823573124</v>
      </c>
      <c r="E507" s="18"/>
      <c r="F507" s="18"/>
    </row>
    <row r="508" spans="2:6" x14ac:dyDescent="0.55000000000000004">
      <c r="B508" s="1">
        <v>496</v>
      </c>
      <c r="C508" s="6">
        <f t="shared" si="14"/>
        <v>-21.330504674078053</v>
      </c>
      <c r="D508" s="6">
        <f t="shared" si="15"/>
        <v>-6.4038715125410075</v>
      </c>
      <c r="E508" s="18"/>
      <c r="F508" s="18"/>
    </row>
    <row r="509" spans="2:6" x14ac:dyDescent="0.55000000000000004">
      <c r="B509" s="1">
        <v>497</v>
      </c>
      <c r="C509" s="6">
        <f t="shared" si="14"/>
        <v>11.413807515766997</v>
      </c>
      <c r="D509" s="6">
        <f t="shared" si="15"/>
        <v>19.150065221638826</v>
      </c>
      <c r="E509" s="18"/>
      <c r="F509" s="18"/>
    </row>
    <row r="510" spans="2:6" x14ac:dyDescent="0.55000000000000004">
      <c r="B510" s="1">
        <v>498</v>
      </c>
      <c r="C510" s="6">
        <f t="shared" si="14"/>
        <v>4.5244732702721997</v>
      </c>
      <c r="D510" s="6">
        <f t="shared" si="15"/>
        <v>-21.852440175563743</v>
      </c>
      <c r="E510" s="18"/>
      <c r="F510" s="18"/>
    </row>
    <row r="511" spans="2:6" x14ac:dyDescent="0.55000000000000004">
      <c r="B511" s="1">
        <v>499</v>
      </c>
      <c r="C511" s="6">
        <f t="shared" si="14"/>
        <v>-18.115736305109888</v>
      </c>
      <c r="D511" s="6">
        <f t="shared" si="15"/>
        <v>13.069816300305197</v>
      </c>
      <c r="E511" s="18"/>
      <c r="F511" s="18"/>
    </row>
    <row r="512" spans="2:6" x14ac:dyDescent="0.55000000000000004">
      <c r="B512" s="1">
        <v>500</v>
      </c>
      <c r="C512" s="6">
        <f t="shared" si="14"/>
        <v>22.208682610026891</v>
      </c>
      <c r="D512" s="6">
        <f t="shared" si="15"/>
        <v>2.6027709709248743</v>
      </c>
      <c r="E512" s="18"/>
      <c r="F512" s="18"/>
    </row>
    <row r="513" spans="2:6" x14ac:dyDescent="0.55000000000000004">
      <c r="B513" s="1">
        <v>501</v>
      </c>
      <c r="C513" s="6">
        <f t="shared" si="14"/>
        <v>-14.63212052572973</v>
      </c>
      <c r="D513" s="6">
        <f t="shared" si="15"/>
        <v>-16.938153645557676</v>
      </c>
      <c r="E513" s="18"/>
      <c r="F513" s="18"/>
    </row>
    <row r="514" spans="2:6" x14ac:dyDescent="0.55000000000000004">
      <c r="B514" s="1">
        <v>502</v>
      </c>
      <c r="C514" s="6">
        <f t="shared" si="14"/>
        <v>-0.6533815265489753</v>
      </c>
      <c r="D514" s="6">
        <f t="shared" si="15"/>
        <v>22.395827570794619</v>
      </c>
      <c r="E514" s="18"/>
      <c r="F514" s="18"/>
    </row>
    <row r="515" spans="2:6" x14ac:dyDescent="0.55000000000000004">
      <c r="B515" s="1">
        <v>503</v>
      </c>
      <c r="C515" s="6">
        <f t="shared" si="14"/>
        <v>15.625805453160629</v>
      </c>
      <c r="D515" s="6">
        <f t="shared" si="15"/>
        <v>-16.088325081871499</v>
      </c>
      <c r="E515" s="18"/>
      <c r="F515" s="18"/>
    </row>
    <row r="516" spans="2:6" x14ac:dyDescent="0.55000000000000004">
      <c r="B516" s="1">
        <v>504</v>
      </c>
      <c r="C516" s="6">
        <f t="shared" si="14"/>
        <v>-22.411760863303481</v>
      </c>
      <c r="D516" s="6">
        <f t="shared" si="15"/>
        <v>1.3088067107478063</v>
      </c>
      <c r="E516" s="18"/>
      <c r="F516" s="18"/>
    </row>
    <row r="517" spans="2:6" x14ac:dyDescent="0.55000000000000004">
      <c r="B517" s="1">
        <v>505</v>
      </c>
      <c r="C517" s="6">
        <f t="shared" si="14"/>
        <v>17.426803781420979</v>
      </c>
      <c r="D517" s="6">
        <f t="shared" si="15"/>
        <v>14.188252533834159</v>
      </c>
      <c r="E517" s="18"/>
      <c r="F517" s="18"/>
    </row>
    <row r="518" spans="2:6" x14ac:dyDescent="0.55000000000000004">
      <c r="B518" s="1">
        <v>506</v>
      </c>
      <c r="C518" s="6">
        <f t="shared" si="14"/>
        <v>-3.2687478950156104</v>
      </c>
      <c r="D518" s="6">
        <f t="shared" si="15"/>
        <v>-22.255679886240973</v>
      </c>
      <c r="E518" s="18"/>
      <c r="F518" s="18"/>
    </row>
    <row r="519" spans="2:6" x14ac:dyDescent="0.55000000000000004">
      <c r="B519" s="1">
        <v>507</v>
      </c>
      <c r="C519" s="6">
        <f t="shared" si="14"/>
        <v>-12.636058626840441</v>
      </c>
      <c r="D519" s="6">
        <f t="shared" si="15"/>
        <v>18.636792169765997</v>
      </c>
      <c r="E519" s="18"/>
      <c r="F519" s="18"/>
    </row>
    <row r="520" spans="2:6" x14ac:dyDescent="0.55000000000000004">
      <c r="B520" s="1">
        <v>508</v>
      </c>
      <c r="C520" s="6">
        <f t="shared" si="14"/>
        <v>21.928104944681724</v>
      </c>
      <c r="D520" s="6">
        <f t="shared" si="15"/>
        <v>-5.2113542899158976</v>
      </c>
      <c r="E520" s="18"/>
      <c r="F520" s="18"/>
    </row>
    <row r="521" spans="2:6" x14ac:dyDescent="0.55000000000000004">
      <c r="B521" s="1">
        <v>509</v>
      </c>
      <c r="C521" s="6">
        <f t="shared" si="14"/>
        <v>-19.708474022633187</v>
      </c>
      <c r="D521" s="6">
        <f t="shared" si="15"/>
        <v>-10.980712713626241</v>
      </c>
      <c r="E521" s="18"/>
      <c r="F521" s="18"/>
    </row>
    <row r="522" spans="2:6" x14ac:dyDescent="0.55000000000000004">
      <c r="B522" s="1">
        <v>510</v>
      </c>
      <c r="C522" s="6">
        <f t="shared" si="14"/>
        <v>7.1216126393548445</v>
      </c>
      <c r="D522" s="6">
        <f t="shared" si="15"/>
        <v>21.430880369573742</v>
      </c>
      <c r="E522" s="18"/>
      <c r="F522" s="18"/>
    </row>
    <row r="523" spans="2:6" x14ac:dyDescent="0.55000000000000004">
      <c r="B523" s="1">
        <v>511</v>
      </c>
      <c r="C523" s="6">
        <f t="shared" si="14"/>
        <v>9.2345438699706861</v>
      </c>
      <c r="D523" s="6">
        <f t="shared" si="15"/>
        <v>-20.633060837248234</v>
      </c>
      <c r="E523" s="18"/>
      <c r="F523" s="18"/>
    </row>
    <row r="524" spans="2:6" x14ac:dyDescent="0.55000000000000004">
      <c r="B524" s="1">
        <v>512</v>
      </c>
      <c r="C524" s="6">
        <f t="shared" si="14"/>
        <v>-20.767165396659315</v>
      </c>
      <c r="D524" s="6">
        <f t="shared" si="15"/>
        <v>8.9847004061235101</v>
      </c>
      <c r="E524" s="18"/>
      <c r="F524" s="18"/>
    </row>
    <row r="525" spans="2:6" x14ac:dyDescent="0.55000000000000004">
      <c r="B525" s="1">
        <v>513</v>
      </c>
      <c r="C525" s="6">
        <f t="shared" ref="C525:C588" si="16">B525^$C$9*COS(2*PI()*B525/$C$8)</f>
        <v>21.402863674603914</v>
      </c>
      <c r="D525" s="6">
        <f t="shared" ref="D525:D588" si="17">B525^$C$9*SIN(2*PI()*B525/$C$8)</f>
        <v>7.4106292935431766</v>
      </c>
      <c r="E525" s="18"/>
      <c r="F525" s="18"/>
    </row>
    <row r="526" spans="2:6" x14ac:dyDescent="0.55000000000000004">
      <c r="B526" s="1">
        <v>514</v>
      </c>
      <c r="C526" s="6">
        <f t="shared" si="16"/>
        <v>-10.786100977207685</v>
      </c>
      <c r="D526" s="6">
        <f t="shared" si="17"/>
        <v>-19.941414837204491</v>
      </c>
      <c r="E526" s="18"/>
      <c r="F526" s="18"/>
    </row>
    <row r="527" spans="2:6" x14ac:dyDescent="0.55000000000000004">
      <c r="B527" s="1">
        <v>515</v>
      </c>
      <c r="C527" s="6">
        <f t="shared" si="16"/>
        <v>-5.5226961941051478</v>
      </c>
      <c r="D527" s="6">
        <f t="shared" si="17"/>
        <v>22.011356767532899</v>
      </c>
      <c r="E527" s="18"/>
      <c r="F527" s="18"/>
    </row>
    <row r="528" spans="2:6" x14ac:dyDescent="0.55000000000000004">
      <c r="B528" s="1">
        <v>516</v>
      </c>
      <c r="C528" s="6">
        <f t="shared" si="16"/>
        <v>18.959349652310564</v>
      </c>
      <c r="D528" s="6">
        <f t="shared" si="17"/>
        <v>-12.511716938990876</v>
      </c>
      <c r="E528" s="18"/>
      <c r="F528" s="18"/>
    </row>
    <row r="529" spans="2:6" x14ac:dyDescent="0.55000000000000004">
      <c r="B529" s="1">
        <v>517</v>
      </c>
      <c r="C529" s="6">
        <f t="shared" si="16"/>
        <v>-22.453232370946981</v>
      </c>
      <c r="D529" s="6">
        <f t="shared" si="17"/>
        <v>-3.5850182839503901</v>
      </c>
      <c r="E529" s="18"/>
      <c r="F529" s="18"/>
    </row>
    <row r="530" spans="2:6" x14ac:dyDescent="0.55000000000000004">
      <c r="B530" s="1">
        <v>518</v>
      </c>
      <c r="C530" s="6">
        <f t="shared" si="16"/>
        <v>14.147980537429072</v>
      </c>
      <c r="D530" s="6">
        <f t="shared" si="17"/>
        <v>17.827917621318768</v>
      </c>
      <c r="E530" s="18"/>
      <c r="F530" s="18"/>
    </row>
    <row r="531" spans="2:6" x14ac:dyDescent="0.55000000000000004">
      <c r="B531" s="1">
        <v>519</v>
      </c>
      <c r="C531" s="6">
        <f t="shared" si="16"/>
        <v>1.6123076506147465</v>
      </c>
      <c r="D531" s="6">
        <f t="shared" si="17"/>
        <v>-22.724446396772116</v>
      </c>
      <c r="E531" s="18"/>
      <c r="F531" s="18"/>
    </row>
    <row r="532" spans="2:6" x14ac:dyDescent="0.55000000000000004">
      <c r="B532" s="1">
        <v>520</v>
      </c>
      <c r="C532" s="6">
        <f t="shared" si="16"/>
        <v>-16.555244372456279</v>
      </c>
      <c r="D532" s="6">
        <f t="shared" si="17"/>
        <v>15.681960456787751</v>
      </c>
      <c r="E532" s="18"/>
      <c r="F532" s="18"/>
    </row>
    <row r="533" spans="2:6" x14ac:dyDescent="0.55000000000000004">
      <c r="B533" s="1">
        <v>521</v>
      </c>
      <c r="C533" s="6">
        <f t="shared" si="16"/>
        <v>22.822254445935485</v>
      </c>
      <c r="D533" s="6">
        <f t="shared" si="17"/>
        <v>-0.38039716741572038</v>
      </c>
      <c r="E533" s="18"/>
      <c r="F533" s="18"/>
    </row>
    <row r="534" spans="2:6" x14ac:dyDescent="0.55000000000000004">
      <c r="B534" s="1">
        <v>522</v>
      </c>
      <c r="C534" s="6">
        <f t="shared" si="16"/>
        <v>-17.101464076126216</v>
      </c>
      <c r="D534" s="6">
        <f t="shared" si="17"/>
        <v>-15.150575119544623</v>
      </c>
      <c r="E534" s="18"/>
      <c r="F534" s="18"/>
    </row>
    <row r="535" spans="2:6" x14ac:dyDescent="0.55000000000000004">
      <c r="B535" s="1">
        <v>523</v>
      </c>
      <c r="C535" s="6">
        <f t="shared" si="16"/>
        <v>2.3778460488097677</v>
      </c>
      <c r="D535" s="6">
        <f t="shared" si="17"/>
        <v>22.745237922874313</v>
      </c>
      <c r="E535" s="18"/>
      <c r="F535" s="18"/>
    </row>
    <row r="536" spans="2:6" x14ac:dyDescent="0.55000000000000004">
      <c r="B536" s="1">
        <v>524</v>
      </c>
      <c r="C536" s="6">
        <f t="shared" si="16"/>
        <v>13.624207522018438</v>
      </c>
      <c r="D536" s="6">
        <f t="shared" si="17"/>
        <v>-18.395134394642955</v>
      </c>
      <c r="E536" s="18"/>
      <c r="F536" s="18"/>
    </row>
    <row r="537" spans="2:6" x14ac:dyDescent="0.55000000000000004">
      <c r="B537" s="1">
        <v>525</v>
      </c>
      <c r="C537" s="6">
        <f t="shared" si="16"/>
        <v>-22.493319993876959</v>
      </c>
      <c r="D537" s="6">
        <f t="shared" si="17"/>
        <v>4.3646942221712424</v>
      </c>
      <c r="E537" s="18"/>
      <c r="F537" s="18"/>
    </row>
    <row r="538" spans="2:6" x14ac:dyDescent="0.55000000000000004">
      <c r="B538" s="1">
        <v>526</v>
      </c>
      <c r="C538" s="6">
        <f t="shared" si="16"/>
        <v>19.55254085549532</v>
      </c>
      <c r="D538" s="6">
        <f t="shared" si="17"/>
        <v>11.987416155877224</v>
      </c>
      <c r="E538" s="18"/>
      <c r="F538" s="18"/>
    </row>
    <row r="539" spans="2:6" x14ac:dyDescent="0.55000000000000004">
      <c r="B539" s="1">
        <v>527</v>
      </c>
      <c r="C539" s="6">
        <f t="shared" si="16"/>
        <v>-6.325620365332977</v>
      </c>
      <c r="D539" s="6">
        <f t="shared" si="17"/>
        <v>-22.067771228506171</v>
      </c>
      <c r="E539" s="18"/>
      <c r="F539" s="18"/>
    </row>
    <row r="540" spans="2:6" x14ac:dyDescent="0.55000000000000004">
      <c r="B540" s="1">
        <v>528</v>
      </c>
      <c r="C540" s="6">
        <f t="shared" si="16"/>
        <v>-10.252369149959815</v>
      </c>
      <c r="D540" s="6">
        <f t="shared" si="17"/>
        <v>20.564263342336194</v>
      </c>
      <c r="E540" s="18"/>
      <c r="F540" s="18"/>
    </row>
    <row r="541" spans="2:6" x14ac:dyDescent="0.55000000000000004">
      <c r="B541" s="1">
        <v>529</v>
      </c>
      <c r="C541" s="6">
        <f t="shared" si="16"/>
        <v>21.471204842802706</v>
      </c>
      <c r="D541" s="6">
        <f t="shared" si="17"/>
        <v>-8.2454449606073847</v>
      </c>
      <c r="E541" s="18"/>
      <c r="F541" s="18"/>
    </row>
    <row r="542" spans="2:6" x14ac:dyDescent="0.55000000000000004">
      <c r="B542" s="1">
        <v>530</v>
      </c>
      <c r="C542" s="6">
        <f t="shared" si="16"/>
        <v>-21.421968673098309</v>
      </c>
      <c r="D542" s="6">
        <f t="shared" si="17"/>
        <v>-8.4320376048019767</v>
      </c>
      <c r="E542" s="18"/>
      <c r="F542" s="18"/>
    </row>
    <row r="543" spans="2:6" x14ac:dyDescent="0.55000000000000004">
      <c r="B543" s="1">
        <v>531</v>
      </c>
      <c r="C543" s="6">
        <f t="shared" si="16"/>
        <v>10.109247990172578</v>
      </c>
      <c r="D543" s="6">
        <f t="shared" si="17"/>
        <v>20.707561543387762</v>
      </c>
      <c r="E543" s="18"/>
      <c r="F543" s="18"/>
    </row>
    <row r="544" spans="2:6" x14ac:dyDescent="0.55000000000000004">
      <c r="B544" s="1">
        <v>532</v>
      </c>
      <c r="C544" s="6">
        <f t="shared" si="16"/>
        <v>6.540098469303306</v>
      </c>
      <c r="D544" s="6">
        <f t="shared" si="17"/>
        <v>-22.118478971480311</v>
      </c>
      <c r="E544" s="18"/>
      <c r="F544" s="18"/>
    </row>
    <row r="545" spans="2:6" x14ac:dyDescent="0.55000000000000004">
      <c r="B545" s="1">
        <v>533</v>
      </c>
      <c r="C545" s="6">
        <f t="shared" si="16"/>
        <v>-19.782084052145358</v>
      </c>
      <c r="D545" s="6">
        <f t="shared" si="17"/>
        <v>11.902485057913591</v>
      </c>
      <c r="E545" s="18"/>
      <c r="F545" s="18"/>
    </row>
    <row r="546" spans="2:6" x14ac:dyDescent="0.55000000000000004">
      <c r="B546" s="1">
        <v>534</v>
      </c>
      <c r="C546" s="6">
        <f t="shared" si="16"/>
        <v>22.647831357214489</v>
      </c>
      <c r="D546" s="6">
        <f t="shared" si="17"/>
        <v>4.5908316038787822</v>
      </c>
      <c r="E546" s="18"/>
      <c r="F546" s="18"/>
    </row>
    <row r="547" spans="2:6" x14ac:dyDescent="0.55000000000000004">
      <c r="B547" s="1">
        <v>535</v>
      </c>
      <c r="C547" s="6">
        <f t="shared" si="16"/>
        <v>-13.611101032591627</v>
      </c>
      <c r="D547" s="6">
        <f t="shared" si="17"/>
        <v>-18.701281471615335</v>
      </c>
      <c r="E547" s="18"/>
      <c r="F547" s="18"/>
    </row>
    <row r="548" spans="2:6" x14ac:dyDescent="0.55000000000000004">
      <c r="B548" s="1">
        <v>536</v>
      </c>
      <c r="C548" s="6">
        <f t="shared" si="16"/>
        <v>-2.5990118061842868</v>
      </c>
      <c r="D548" s="6">
        <f t="shared" si="17"/>
        <v>23.005328461713273</v>
      </c>
      <c r="E548" s="18"/>
      <c r="F548" s="18"/>
    </row>
    <row r="549" spans="2:6" x14ac:dyDescent="0.55000000000000004">
      <c r="B549" s="1">
        <v>537</v>
      </c>
      <c r="C549" s="6">
        <f t="shared" si="16"/>
        <v>17.47288373046143</v>
      </c>
      <c r="D549" s="6">
        <f t="shared" si="17"/>
        <v>-15.221640323624001</v>
      </c>
      <c r="E549" s="18"/>
      <c r="F549" s="18"/>
    </row>
    <row r="550" spans="2:6" x14ac:dyDescent="0.55000000000000004">
      <c r="B550" s="1">
        <v>538</v>
      </c>
      <c r="C550" s="6">
        <f t="shared" si="16"/>
        <v>-23.187579345041474</v>
      </c>
      <c r="D550" s="6">
        <f t="shared" si="17"/>
        <v>-0.57979661727703591</v>
      </c>
      <c r="E550" s="18"/>
      <c r="F550" s="18"/>
    </row>
    <row r="551" spans="2:6" x14ac:dyDescent="0.55000000000000004">
      <c r="B551" s="1">
        <v>539</v>
      </c>
      <c r="C551" s="6">
        <f t="shared" si="16"/>
        <v>16.7213529235386</v>
      </c>
      <c r="D551" s="6">
        <f t="shared" si="17"/>
        <v>16.105786426203075</v>
      </c>
      <c r="E551" s="18"/>
      <c r="F551" s="18"/>
    </row>
    <row r="552" spans="2:6" x14ac:dyDescent="0.55000000000000004">
      <c r="B552" s="1">
        <v>540</v>
      </c>
      <c r="C552" s="6">
        <f t="shared" si="16"/>
        <v>-1.4513892380549411</v>
      </c>
      <c r="D552" s="6">
        <f t="shared" si="17"/>
        <v>-23.192530463053362</v>
      </c>
      <c r="E552" s="18"/>
      <c r="F552" s="18"/>
    </row>
    <row r="553" spans="2:6" x14ac:dyDescent="0.55000000000000004">
      <c r="B553" s="1">
        <v>541</v>
      </c>
      <c r="C553" s="6">
        <f t="shared" si="16"/>
        <v>-14.609986458000401</v>
      </c>
      <c r="D553" s="6">
        <f t="shared" si="17"/>
        <v>18.09829538097566</v>
      </c>
      <c r="E553" s="18"/>
      <c r="F553" s="18"/>
    </row>
    <row r="554" spans="2:6" x14ac:dyDescent="0.55000000000000004">
      <c r="B554" s="1">
        <v>542</v>
      </c>
      <c r="C554" s="6">
        <f t="shared" si="16"/>
        <v>23.019486409540399</v>
      </c>
      <c r="D554" s="6">
        <f t="shared" si="17"/>
        <v>-3.478971894250511</v>
      </c>
      <c r="E554" s="18"/>
      <c r="F554" s="18"/>
    </row>
    <row r="555" spans="2:6" x14ac:dyDescent="0.55000000000000004">
      <c r="B555" s="1">
        <v>543</v>
      </c>
      <c r="C555" s="6">
        <f t="shared" si="16"/>
        <v>-19.341425904641735</v>
      </c>
      <c r="D555" s="6">
        <f t="shared" si="17"/>
        <v>-12.996508914906869</v>
      </c>
      <c r="E555" s="18"/>
      <c r="F555" s="18"/>
    </row>
    <row r="556" spans="2:6" x14ac:dyDescent="0.55000000000000004">
      <c r="B556" s="1">
        <v>544</v>
      </c>
      <c r="C556" s="6">
        <f t="shared" si="16"/>
        <v>5.4873479663555669</v>
      </c>
      <c r="D556" s="6">
        <f t="shared" si="17"/>
        <v>22.669120236483227</v>
      </c>
      <c r="E556" s="18"/>
      <c r="F556" s="18"/>
    </row>
    <row r="557" spans="2:6" x14ac:dyDescent="0.55000000000000004">
      <c r="B557" s="1">
        <v>545</v>
      </c>
      <c r="C557" s="6">
        <f t="shared" si="16"/>
        <v>11.277325754662959</v>
      </c>
      <c r="D557" s="6">
        <f t="shared" si="17"/>
        <v>-20.440692841075997</v>
      </c>
      <c r="E557" s="18"/>
      <c r="F557" s="18"/>
    </row>
    <row r="558" spans="2:6" x14ac:dyDescent="0.55000000000000004">
      <c r="B558" s="1">
        <v>546</v>
      </c>
      <c r="C558" s="6">
        <f t="shared" si="16"/>
        <v>-22.143473235638623</v>
      </c>
      <c r="D558" s="6">
        <f t="shared" si="17"/>
        <v>7.4610048292811149</v>
      </c>
      <c r="E558" s="18"/>
      <c r="F558" s="18"/>
    </row>
    <row r="559" spans="2:6" x14ac:dyDescent="0.55000000000000004">
      <c r="B559" s="1">
        <v>547</v>
      </c>
      <c r="C559" s="6">
        <f t="shared" si="16"/>
        <v>21.387115818059922</v>
      </c>
      <c r="D559" s="6">
        <f t="shared" si="17"/>
        <v>9.4652668734109771</v>
      </c>
      <c r="E559" s="18"/>
      <c r="F559" s="18"/>
    </row>
    <row r="560" spans="2:6" x14ac:dyDescent="0.55000000000000004">
      <c r="B560" s="1">
        <v>548</v>
      </c>
      <c r="C560" s="6">
        <f t="shared" si="16"/>
        <v>-9.3846406264660853</v>
      </c>
      <c r="D560" s="6">
        <f t="shared" si="17"/>
        <v>-21.445944145970408</v>
      </c>
      <c r="E560" s="18"/>
      <c r="F560" s="18"/>
    </row>
    <row r="561" spans="2:6" x14ac:dyDescent="0.55000000000000004">
      <c r="B561" s="1">
        <v>549</v>
      </c>
      <c r="C561" s="6">
        <f t="shared" si="16"/>
        <v>-7.5739242277242118</v>
      </c>
      <c r="D561" s="6">
        <f t="shared" si="17"/>
        <v>22.172858899850784</v>
      </c>
      <c r="E561" s="18"/>
      <c r="F561" s="18"/>
    </row>
    <row r="562" spans="2:6" x14ac:dyDescent="0.55000000000000004">
      <c r="B562" s="1">
        <v>550</v>
      </c>
      <c r="C562" s="6">
        <f t="shared" si="16"/>
        <v>20.581267833264789</v>
      </c>
      <c r="D562" s="6">
        <f t="shared" si="17"/>
        <v>-11.243283078150272</v>
      </c>
      <c r="E562" s="18"/>
      <c r="F562" s="18"/>
    </row>
    <row r="563" spans="2:6" x14ac:dyDescent="0.55000000000000004">
      <c r="B563" s="1">
        <v>551</v>
      </c>
      <c r="C563" s="6">
        <f t="shared" si="16"/>
        <v>-22.791295159944394</v>
      </c>
      <c r="D563" s="6">
        <f t="shared" si="17"/>
        <v>-5.6175497267309735</v>
      </c>
      <c r="E563" s="18"/>
      <c r="F563" s="18"/>
    </row>
    <row r="564" spans="2:6" x14ac:dyDescent="0.55000000000000004">
      <c r="B564" s="1">
        <v>552</v>
      </c>
      <c r="C564" s="6">
        <f t="shared" si="16"/>
        <v>13.022406165573713</v>
      </c>
      <c r="D564" s="6">
        <f t="shared" si="17"/>
        <v>19.555483570058495</v>
      </c>
      <c r="E564" s="18"/>
      <c r="F564" s="18"/>
    </row>
    <row r="565" spans="2:6" x14ac:dyDescent="0.55000000000000004">
      <c r="B565" s="1">
        <v>553</v>
      </c>
      <c r="C565" s="6">
        <f t="shared" si="16"/>
        <v>3.6109476626250636</v>
      </c>
      <c r="D565" s="6">
        <f t="shared" si="17"/>
        <v>-23.237062141711945</v>
      </c>
      <c r="E565" s="18"/>
      <c r="F565" s="18"/>
    </row>
    <row r="566" spans="2:6" x14ac:dyDescent="0.55000000000000004">
      <c r="B566" s="1">
        <v>554</v>
      </c>
      <c r="C566" s="6">
        <f t="shared" si="16"/>
        <v>-18.375893124938546</v>
      </c>
      <c r="D566" s="6">
        <f t="shared" si="17"/>
        <v>14.708043780898812</v>
      </c>
      <c r="E566" s="18"/>
      <c r="F566" s="18"/>
    </row>
    <row r="567" spans="2:6" x14ac:dyDescent="0.55000000000000004">
      <c r="B567" s="1">
        <v>555</v>
      </c>
      <c r="C567" s="6">
        <f t="shared" si="16"/>
        <v>23.506107745993379</v>
      </c>
      <c r="D567" s="6">
        <f t="shared" si="17"/>
        <v>1.5693624927817309</v>
      </c>
      <c r="E567" s="18"/>
      <c r="F567" s="18"/>
    </row>
    <row r="568" spans="2:6" x14ac:dyDescent="0.55000000000000004">
      <c r="B568" s="1">
        <v>556</v>
      </c>
      <c r="C568" s="6">
        <f t="shared" si="16"/>
        <v>-16.286899452724626</v>
      </c>
      <c r="D568" s="6">
        <f t="shared" si="17"/>
        <v>-17.051008950113136</v>
      </c>
      <c r="E568" s="18"/>
      <c r="F568" s="18"/>
    </row>
    <row r="569" spans="2:6" x14ac:dyDescent="0.55000000000000004">
      <c r="B569" s="1">
        <v>557</v>
      </c>
      <c r="C569" s="6">
        <f t="shared" si="16"/>
        <v>0.4916371742093929</v>
      </c>
      <c r="D569" s="6">
        <f t="shared" si="17"/>
        <v>23.595726157271265</v>
      </c>
      <c r="E569" s="18"/>
      <c r="F569" s="18"/>
    </row>
    <row r="570" spans="2:6" x14ac:dyDescent="0.55000000000000004">
      <c r="B570" s="1">
        <v>558</v>
      </c>
      <c r="C570" s="6">
        <f t="shared" si="16"/>
        <v>15.590492833748865</v>
      </c>
      <c r="D570" s="6">
        <f t="shared" si="17"/>
        <v>-17.746451284716763</v>
      </c>
      <c r="E570" s="18"/>
      <c r="F570" s="18"/>
    </row>
    <row r="571" spans="2:6" x14ac:dyDescent="0.55000000000000004">
      <c r="B571" s="1">
        <v>559</v>
      </c>
      <c r="C571" s="6">
        <f t="shared" si="16"/>
        <v>-23.504583496010206</v>
      </c>
      <c r="D571" s="6">
        <f t="shared" si="17"/>
        <v>2.5562775043184476</v>
      </c>
      <c r="E571" s="18"/>
      <c r="F571" s="18"/>
    </row>
    <row r="572" spans="2:6" x14ac:dyDescent="0.55000000000000004">
      <c r="B572" s="1">
        <v>560</v>
      </c>
      <c r="C572" s="6">
        <f t="shared" si="16"/>
        <v>19.075051278996199</v>
      </c>
      <c r="D572" s="6">
        <f t="shared" si="17"/>
        <v>14.005085458634856</v>
      </c>
      <c r="E572" s="18"/>
      <c r="F572" s="18"/>
    </row>
    <row r="573" spans="2:6" x14ac:dyDescent="0.55000000000000004">
      <c r="B573" s="1">
        <v>561</v>
      </c>
      <c r="C573" s="6">
        <f t="shared" si="16"/>
        <v>-4.6087003656177723</v>
      </c>
      <c r="D573" s="6">
        <f t="shared" si="17"/>
        <v>-23.232732963212797</v>
      </c>
      <c r="E573" s="18"/>
      <c r="F573" s="18"/>
    </row>
    <row r="574" spans="2:6" x14ac:dyDescent="0.55000000000000004">
      <c r="B574" s="1">
        <v>562</v>
      </c>
      <c r="C574" s="6">
        <f t="shared" si="16"/>
        <v>-12.306527380888635</v>
      </c>
      <c r="D574" s="6">
        <f t="shared" si="17"/>
        <v>20.262018256418539</v>
      </c>
      <c r="E574" s="18"/>
      <c r="F574" s="18"/>
    </row>
    <row r="575" spans="2:6" x14ac:dyDescent="0.55000000000000004">
      <c r="B575" s="1">
        <v>563</v>
      </c>
      <c r="C575" s="6">
        <f t="shared" si="16"/>
        <v>22.781619323890631</v>
      </c>
      <c r="D575" s="6">
        <f t="shared" si="17"/>
        <v>-6.6330853289651772</v>
      </c>
      <c r="E575" s="18"/>
      <c r="F575" s="18"/>
    </row>
    <row r="576" spans="2:6" x14ac:dyDescent="0.55000000000000004">
      <c r="B576" s="1">
        <v>564</v>
      </c>
      <c r="C576" s="6">
        <f t="shared" si="16"/>
        <v>-21.297723633050428</v>
      </c>
      <c r="D576" s="6">
        <f t="shared" si="17"/>
        <v>-10.5074720104412</v>
      </c>
      <c r="E576" s="18"/>
      <c r="F576" s="18"/>
    </row>
    <row r="577" spans="2:6" x14ac:dyDescent="0.55000000000000004">
      <c r="B577" s="1">
        <v>565</v>
      </c>
      <c r="C577" s="6">
        <f t="shared" si="16"/>
        <v>8.6137718019793468</v>
      </c>
      <c r="D577" s="6">
        <f t="shared" si="17"/>
        <v>22.154072658168868</v>
      </c>
      <c r="E577" s="18"/>
      <c r="F577" s="18"/>
    </row>
    <row r="578" spans="2:6" x14ac:dyDescent="0.55000000000000004">
      <c r="B578" s="1">
        <v>566</v>
      </c>
      <c r="C578" s="6">
        <f t="shared" si="16"/>
        <v>8.6213912389052076</v>
      </c>
      <c r="D578" s="6">
        <f t="shared" si="17"/>
        <v>-22.173669364941123</v>
      </c>
      <c r="E578" s="18"/>
      <c r="F578" s="18"/>
    </row>
    <row r="579" spans="2:6" x14ac:dyDescent="0.55000000000000004">
      <c r="B579" s="1">
        <v>567</v>
      </c>
      <c r="C579" s="6">
        <f t="shared" si="16"/>
        <v>-21.354291391717954</v>
      </c>
      <c r="D579" s="6">
        <f t="shared" si="17"/>
        <v>10.535380351824063</v>
      </c>
      <c r="E579" s="18"/>
      <c r="F579" s="18"/>
    </row>
    <row r="580" spans="2:6" x14ac:dyDescent="0.55000000000000004">
      <c r="B580" s="1">
        <v>568</v>
      </c>
      <c r="C580" s="6">
        <f t="shared" si="16"/>
        <v>22.882557431487957</v>
      </c>
      <c r="D580" s="6">
        <f t="shared" si="17"/>
        <v>6.662474419812451</v>
      </c>
      <c r="E580" s="18"/>
      <c r="F580" s="18"/>
    </row>
    <row r="581" spans="2:6" x14ac:dyDescent="0.55000000000000004">
      <c r="B581" s="1">
        <v>569</v>
      </c>
      <c r="C581" s="6">
        <f t="shared" si="16"/>
        <v>-12.382932276022142</v>
      </c>
      <c r="D581" s="6">
        <f t="shared" si="17"/>
        <v>-20.387814700145011</v>
      </c>
      <c r="E581" s="18"/>
      <c r="F581" s="18"/>
    </row>
    <row r="582" spans="2:6" x14ac:dyDescent="0.55000000000000004">
      <c r="B582" s="1">
        <v>570</v>
      </c>
      <c r="C582" s="6">
        <f t="shared" si="16"/>
        <v>-4.6455214597331072</v>
      </c>
      <c r="D582" s="6">
        <f t="shared" si="17"/>
        <v>23.418350291324092</v>
      </c>
      <c r="E582" s="18"/>
      <c r="F582" s="18"/>
    </row>
    <row r="583" spans="2:6" x14ac:dyDescent="0.55000000000000004">
      <c r="B583" s="1">
        <v>571</v>
      </c>
      <c r="C583" s="6">
        <f t="shared" si="16"/>
        <v>19.261484464733805</v>
      </c>
      <c r="D583" s="6">
        <f t="shared" si="17"/>
        <v>-14.141966490372491</v>
      </c>
      <c r="E583" s="18"/>
      <c r="F583" s="18"/>
    </row>
    <row r="584" spans="2:6" x14ac:dyDescent="0.55000000000000004">
      <c r="B584" s="1">
        <v>572</v>
      </c>
      <c r="C584" s="6">
        <f t="shared" si="16"/>
        <v>-23.776321812533947</v>
      </c>
      <c r="D584" s="6">
        <f t="shared" si="17"/>
        <v>-2.5858308271854309</v>
      </c>
      <c r="E584" s="18"/>
      <c r="F584" s="18"/>
    </row>
    <row r="585" spans="2:6" x14ac:dyDescent="0.55000000000000004">
      <c r="B585" s="1">
        <v>573</v>
      </c>
      <c r="C585" s="6">
        <f t="shared" si="16"/>
        <v>15.798652821091553</v>
      </c>
      <c r="D585" s="6">
        <f t="shared" si="17"/>
        <v>17.983397038341117</v>
      </c>
      <c r="E585" s="18"/>
      <c r="F585" s="18"/>
    </row>
    <row r="586" spans="2:6" x14ac:dyDescent="0.55000000000000004">
      <c r="B586" s="1">
        <v>574</v>
      </c>
      <c r="C586" s="6">
        <f t="shared" si="16"/>
        <v>0.49908332799803667</v>
      </c>
      <c r="D586" s="6">
        <f t="shared" si="17"/>
        <v>-23.953098251201542</v>
      </c>
      <c r="E586" s="18"/>
      <c r="F586" s="18"/>
    </row>
    <row r="587" spans="2:6" x14ac:dyDescent="0.55000000000000004">
      <c r="B587" s="1">
        <v>575</v>
      </c>
      <c r="C587" s="6">
        <f t="shared" si="16"/>
        <v>-16.562845159959263</v>
      </c>
      <c r="D587" s="6">
        <f t="shared" si="17"/>
        <v>17.339900813073125</v>
      </c>
      <c r="E587" s="18"/>
      <c r="F587" s="18"/>
    </row>
    <row r="588" spans="2:6" x14ac:dyDescent="0.55000000000000004">
      <c r="B588" s="1">
        <v>576</v>
      </c>
      <c r="C588" s="6">
        <f t="shared" si="16"/>
        <v>23.946688927845706</v>
      </c>
      <c r="D588" s="6">
        <f t="shared" si="17"/>
        <v>-1.5987774682524711</v>
      </c>
      <c r="E588" s="18"/>
      <c r="F588" s="18"/>
    </row>
    <row r="589" spans="2:6" x14ac:dyDescent="0.55000000000000004">
      <c r="B589" s="1">
        <v>577</v>
      </c>
      <c r="C589" s="6">
        <f t="shared" ref="C589:C652" si="18">B589^$C$9*COS(2*PI()*B589/$C$8)</f>
        <v>-18.75346319769633</v>
      </c>
      <c r="D589" s="6">
        <f t="shared" ref="D589:D652" si="19">B589^$C$9*SIN(2*PI()*B589/$C$8)</f>
        <v>-15.01025043404171</v>
      </c>
      <c r="E589" s="18"/>
      <c r="F589" s="18"/>
    </row>
    <row r="590" spans="2:6" x14ac:dyDescent="0.55000000000000004">
      <c r="B590" s="1">
        <v>578</v>
      </c>
      <c r="C590" s="6">
        <f t="shared" si="18"/>
        <v>3.6916672375460555</v>
      </c>
      <c r="D590" s="6">
        <f t="shared" si="19"/>
        <v>23.756506329997872</v>
      </c>
      <c r="E590" s="18"/>
      <c r="F590" s="18"/>
    </row>
    <row r="591" spans="2:6" x14ac:dyDescent="0.55000000000000004">
      <c r="B591" s="1">
        <v>579</v>
      </c>
      <c r="C591" s="6">
        <f t="shared" si="18"/>
        <v>13.33708686490422</v>
      </c>
      <c r="D591" s="6">
        <f t="shared" si="19"/>
        <v>-20.028033202439008</v>
      </c>
      <c r="E591" s="18"/>
      <c r="F591" s="18"/>
    </row>
    <row r="592" spans="2:6" x14ac:dyDescent="0.55000000000000004">
      <c r="B592" s="1">
        <v>580</v>
      </c>
      <c r="C592" s="6">
        <f t="shared" si="18"/>
        <v>-23.383375450076553</v>
      </c>
      <c r="D592" s="6">
        <f t="shared" si="19"/>
        <v>5.7634844114265826</v>
      </c>
      <c r="E592" s="18"/>
      <c r="F592" s="18"/>
    </row>
    <row r="593" spans="2:6" x14ac:dyDescent="0.55000000000000004">
      <c r="B593" s="1">
        <v>581</v>
      </c>
      <c r="C593" s="6">
        <f t="shared" si="18"/>
        <v>21.153334929351459</v>
      </c>
      <c r="D593" s="6">
        <f t="shared" si="19"/>
        <v>11.555796007488174</v>
      </c>
      <c r="E593" s="18"/>
      <c r="F593" s="18"/>
    </row>
    <row r="594" spans="2:6" x14ac:dyDescent="0.55000000000000004">
      <c r="B594" s="1">
        <v>582</v>
      </c>
      <c r="C594" s="6">
        <f t="shared" si="18"/>
        <v>-7.7982342376863203</v>
      </c>
      <c r="D594" s="6">
        <f t="shared" si="19"/>
        <v>-22.829532250446498</v>
      </c>
      <c r="E594" s="18"/>
      <c r="F594" s="18"/>
    </row>
    <row r="595" spans="2:6" x14ac:dyDescent="0.55000000000000004">
      <c r="B595" s="1">
        <v>583</v>
      </c>
      <c r="C595" s="6">
        <f t="shared" si="18"/>
        <v>-9.6796943625376137</v>
      </c>
      <c r="D595" s="6">
        <f t="shared" si="19"/>
        <v>22.120206080591959</v>
      </c>
      <c r="E595" s="18"/>
      <c r="F595" s="18"/>
    </row>
    <row r="596" spans="2:6" x14ac:dyDescent="0.55000000000000004">
      <c r="B596" s="1">
        <v>584</v>
      </c>
      <c r="C596" s="6">
        <f t="shared" si="18"/>
        <v>22.098611231374957</v>
      </c>
      <c r="D596" s="6">
        <f t="shared" si="19"/>
        <v>-9.7801524346274178</v>
      </c>
      <c r="E596" s="18"/>
      <c r="F596" s="18"/>
    </row>
    <row r="597" spans="2:6" x14ac:dyDescent="0.55000000000000004">
      <c r="B597" s="1">
        <v>585</v>
      </c>
      <c r="C597" s="6">
        <f t="shared" si="18"/>
        <v>-22.920672366209399</v>
      </c>
      <c r="D597" s="6">
        <f t="shared" si="19"/>
        <v>-7.7228737061332753</v>
      </c>
      <c r="E597" s="18"/>
      <c r="F597" s="18"/>
    </row>
    <row r="598" spans="2:6" x14ac:dyDescent="0.55000000000000004">
      <c r="B598" s="1">
        <v>586</v>
      </c>
      <c r="C598" s="6">
        <f t="shared" si="18"/>
        <v>11.693827481812409</v>
      </c>
      <c r="D598" s="6">
        <f t="shared" si="19"/>
        <v>21.195622161795789</v>
      </c>
      <c r="E598" s="18"/>
      <c r="F598" s="18"/>
    </row>
    <row r="599" spans="2:6" x14ac:dyDescent="0.55000000000000004">
      <c r="B599" s="1">
        <v>587</v>
      </c>
      <c r="C599" s="6">
        <f t="shared" si="18"/>
        <v>5.7000951007816978</v>
      </c>
      <c r="D599" s="6">
        <f t="shared" si="19"/>
        <v>-23.54801299137667</v>
      </c>
      <c r="E599" s="18"/>
      <c r="F599" s="18"/>
    </row>
    <row r="600" spans="2:6" x14ac:dyDescent="0.55000000000000004">
      <c r="B600" s="1">
        <v>588</v>
      </c>
      <c r="C600" s="6">
        <f t="shared" si="18"/>
        <v>-20.126916116974655</v>
      </c>
      <c r="D600" s="6">
        <f t="shared" si="19"/>
        <v>13.524320597363324</v>
      </c>
      <c r="E600" s="18"/>
      <c r="F600" s="18"/>
    </row>
    <row r="601" spans="2:6" x14ac:dyDescent="0.55000000000000004">
      <c r="B601" s="1">
        <v>589</v>
      </c>
      <c r="C601" s="6">
        <f t="shared" si="18"/>
        <v>23.996816687541163</v>
      </c>
      <c r="D601" s="6">
        <f t="shared" si="19"/>
        <v>3.6266773863339363</v>
      </c>
      <c r="E601" s="18"/>
      <c r="F601" s="18"/>
    </row>
    <row r="602" spans="2:6" x14ac:dyDescent="0.55000000000000004">
      <c r="B602" s="1">
        <v>590</v>
      </c>
      <c r="C602" s="6">
        <f t="shared" si="18"/>
        <v>-15.257282467049352</v>
      </c>
      <c r="D602" s="6">
        <f t="shared" si="19"/>
        <v>-18.900141050285004</v>
      </c>
      <c r="E602" s="18"/>
      <c r="F602" s="18"/>
    </row>
    <row r="603" spans="2:6" x14ac:dyDescent="0.55000000000000004">
      <c r="B603" s="1">
        <v>591</v>
      </c>
      <c r="C603" s="6">
        <f t="shared" si="18"/>
        <v>-1.5183809942855226</v>
      </c>
      <c r="D603" s="6">
        <f t="shared" si="19"/>
        <v>24.263027823340444</v>
      </c>
      <c r="E603" s="18"/>
      <c r="F603" s="18"/>
    </row>
    <row r="604" spans="2:6" x14ac:dyDescent="0.55000000000000004">
      <c r="B604" s="1">
        <v>592</v>
      </c>
      <c r="C604" s="6">
        <f t="shared" si="18"/>
        <v>17.524187208084044</v>
      </c>
      <c r="D604" s="6">
        <f t="shared" si="19"/>
        <v>-16.879065812302041</v>
      </c>
      <c r="E604" s="18"/>
      <c r="F604" s="18"/>
    </row>
    <row r="605" spans="2:6" x14ac:dyDescent="0.55000000000000004">
      <c r="B605" s="1">
        <v>593</v>
      </c>
      <c r="C605" s="6">
        <f t="shared" si="18"/>
        <v>-24.343982206335188</v>
      </c>
      <c r="D605" s="6">
        <f t="shared" si="19"/>
        <v>0.6087120317817627</v>
      </c>
      <c r="E605" s="18"/>
      <c r="F605" s="18"/>
    </row>
    <row r="606" spans="2:6" x14ac:dyDescent="0.55000000000000004">
      <c r="B606" s="1">
        <v>594</v>
      </c>
      <c r="C606" s="6">
        <f t="shared" si="18"/>
        <v>18.376832913569938</v>
      </c>
      <c r="D606" s="6">
        <f t="shared" si="19"/>
        <v>16.009122776302664</v>
      </c>
      <c r="E606" s="18"/>
      <c r="F606" s="18"/>
    </row>
    <row r="607" spans="2:6" x14ac:dyDescent="0.55000000000000004">
      <c r="B607" s="1">
        <v>595</v>
      </c>
      <c r="C607" s="6">
        <f t="shared" si="18"/>
        <v>-2.7383208949403977</v>
      </c>
      <c r="D607" s="6">
        <f t="shared" si="19"/>
        <v>-24.238432265233921</v>
      </c>
      <c r="E607" s="18"/>
      <c r="F607" s="18"/>
    </row>
    <row r="608" spans="2:6" x14ac:dyDescent="0.55000000000000004">
      <c r="B608" s="1">
        <v>596</v>
      </c>
      <c r="C608" s="6">
        <f t="shared" si="18"/>
        <v>-14.366120224041126</v>
      </c>
      <c r="D608" s="6">
        <f t="shared" si="19"/>
        <v>19.738657241778036</v>
      </c>
      <c r="E608" s="18"/>
      <c r="F608" s="18"/>
    </row>
    <row r="609" spans="2:6" x14ac:dyDescent="0.55000000000000004">
      <c r="B609" s="1">
        <v>597</v>
      </c>
      <c r="C609" s="6">
        <f t="shared" si="18"/>
        <v>23.946561383385937</v>
      </c>
      <c r="D609" s="6">
        <f t="shared" si="19"/>
        <v>-4.8540908429621794</v>
      </c>
      <c r="E609" s="18"/>
      <c r="F609" s="18"/>
    </row>
    <row r="610" spans="2:6" x14ac:dyDescent="0.55000000000000004">
      <c r="B610" s="1">
        <v>598</v>
      </c>
      <c r="C610" s="6">
        <f t="shared" si="18"/>
        <v>-20.953618393244618</v>
      </c>
      <c r="D610" s="6">
        <f t="shared" si="19"/>
        <v>-12.607373883179665</v>
      </c>
      <c r="E610" s="18"/>
      <c r="F610" s="18"/>
    </row>
    <row r="611" spans="2:6" x14ac:dyDescent="0.55000000000000004">
      <c r="B611" s="1">
        <v>599</v>
      </c>
      <c r="C611" s="6">
        <f t="shared" si="18"/>
        <v>6.9397189474641863</v>
      </c>
      <c r="D611" s="6">
        <f t="shared" si="19"/>
        <v>23.469987237538209</v>
      </c>
      <c r="E611" s="18"/>
      <c r="F611" s="18"/>
    </row>
    <row r="612" spans="2:6" x14ac:dyDescent="0.55000000000000004">
      <c r="B612" s="1">
        <v>600</v>
      </c>
      <c r="C612" s="6">
        <f t="shared" si="18"/>
        <v>10.746009372350196</v>
      </c>
      <c r="D612" s="6">
        <f t="shared" si="19"/>
        <v>-22.011889572895864</v>
      </c>
      <c r="E612" s="18"/>
      <c r="F612" s="18"/>
    </row>
    <row r="613" spans="2:6" x14ac:dyDescent="0.55000000000000004">
      <c r="B613" s="1">
        <v>601</v>
      </c>
      <c r="C613" s="6">
        <f t="shared" si="18"/>
        <v>-22.811754080450914</v>
      </c>
      <c r="D613" s="6">
        <f t="shared" si="19"/>
        <v>8.9790798956814655</v>
      </c>
      <c r="E613" s="18"/>
      <c r="F613" s="18"/>
    </row>
    <row r="614" spans="2:6" x14ac:dyDescent="0.55000000000000004">
      <c r="B614" s="1">
        <v>602</v>
      </c>
      <c r="C614" s="6">
        <f t="shared" si="18"/>
        <v>22.904816925807332</v>
      </c>
      <c r="D614" s="6">
        <f t="shared" si="19"/>
        <v>8.7959855385994068</v>
      </c>
      <c r="E614" s="18"/>
      <c r="F614" s="18"/>
    </row>
    <row r="615" spans="2:6" x14ac:dyDescent="0.55000000000000004">
      <c r="B615" s="1">
        <v>603</v>
      </c>
      <c r="C615" s="6">
        <f t="shared" si="18"/>
        <v>-10.956350822991206</v>
      </c>
      <c r="D615" s="6">
        <f t="shared" si="19"/>
        <v>-21.976313991284798</v>
      </c>
      <c r="E615" s="18"/>
      <c r="F615" s="18"/>
    </row>
    <row r="616" spans="2:6" x14ac:dyDescent="0.55000000000000004">
      <c r="B616" s="1">
        <v>604</v>
      </c>
      <c r="C616" s="6">
        <f t="shared" si="18"/>
        <v>-6.7719896503571864</v>
      </c>
      <c r="D616" s="6">
        <f t="shared" si="19"/>
        <v>23.624990077785327</v>
      </c>
      <c r="E616" s="18"/>
      <c r="F616" s="18"/>
    </row>
    <row r="617" spans="2:6" x14ac:dyDescent="0.55000000000000004">
      <c r="B617" s="1">
        <v>605</v>
      </c>
      <c r="C617" s="6">
        <f t="shared" si="18"/>
        <v>20.969497203124746</v>
      </c>
      <c r="D617" s="6">
        <f t="shared" si="19"/>
        <v>-12.856134218657781</v>
      </c>
      <c r="E617" s="18"/>
      <c r="F617" s="18"/>
    </row>
    <row r="618" spans="2:6" x14ac:dyDescent="0.55000000000000004">
      <c r="B618" s="1">
        <v>606</v>
      </c>
      <c r="C618" s="6">
        <f t="shared" si="18"/>
        <v>-24.166303311860691</v>
      </c>
      <c r="D618" s="6">
        <f t="shared" si="19"/>
        <v>-4.6893266296080265</v>
      </c>
      <c r="E618" s="18"/>
      <c r="F618" s="18"/>
    </row>
    <row r="619" spans="2:6" x14ac:dyDescent="0.55000000000000004">
      <c r="B619" s="1">
        <v>607</v>
      </c>
      <c r="C619" s="6">
        <f t="shared" si="18"/>
        <v>14.663577949321869</v>
      </c>
      <c r="D619" s="6">
        <f t="shared" si="19"/>
        <v>19.798471701728936</v>
      </c>
      <c r="E619" s="18"/>
      <c r="F619" s="18"/>
    </row>
    <row r="620" spans="2:6" x14ac:dyDescent="0.55000000000000004">
      <c r="B620" s="1">
        <v>608</v>
      </c>
      <c r="C620" s="6">
        <f t="shared" si="18"/>
        <v>2.5638031597120454</v>
      </c>
      <c r="D620" s="6">
        <f t="shared" si="19"/>
        <v>-24.524006878123533</v>
      </c>
      <c r="E620" s="18"/>
      <c r="F620" s="18"/>
    </row>
    <row r="621" spans="2:6" x14ac:dyDescent="0.55000000000000004">
      <c r="B621" s="1">
        <v>609</v>
      </c>
      <c r="C621" s="6">
        <f t="shared" si="18"/>
        <v>-18.47169237339142</v>
      </c>
      <c r="D621" s="6">
        <f t="shared" si="19"/>
        <v>16.364491463616989</v>
      </c>
      <c r="E621" s="18"/>
      <c r="F621" s="18"/>
    </row>
    <row r="622" spans="2:6" x14ac:dyDescent="0.55000000000000004">
      <c r="B622" s="1">
        <v>610</v>
      </c>
      <c r="C622" s="6">
        <f t="shared" si="18"/>
        <v>24.694748008968258</v>
      </c>
      <c r="D622" s="6">
        <f t="shared" si="19"/>
        <v>0.41160754798490706</v>
      </c>
      <c r="E622" s="18"/>
      <c r="F622" s="18"/>
    </row>
    <row r="623" spans="2:6" x14ac:dyDescent="0.55000000000000004">
      <c r="B623" s="1">
        <v>611</v>
      </c>
      <c r="C623" s="6">
        <f t="shared" si="18"/>
        <v>-17.945457268437359</v>
      </c>
      <c r="D623" s="6">
        <f t="shared" si="19"/>
        <v>-16.998840061212668</v>
      </c>
      <c r="E623" s="18"/>
      <c r="F623" s="18"/>
    </row>
    <row r="624" spans="2:6" x14ac:dyDescent="0.55000000000000004">
      <c r="B624" s="1">
        <v>612</v>
      </c>
      <c r="C624" s="6">
        <f t="shared" si="18"/>
        <v>1.7508137429481905</v>
      </c>
      <c r="D624" s="6">
        <f t="shared" si="19"/>
        <v>24.676601290240594</v>
      </c>
      <c r="E624" s="18"/>
      <c r="F624" s="18"/>
    </row>
    <row r="625" spans="2:6" x14ac:dyDescent="0.55000000000000004">
      <c r="B625" s="1">
        <v>613</v>
      </c>
      <c r="C625" s="6">
        <f t="shared" si="18"/>
        <v>15.39075096854434</v>
      </c>
      <c r="D625" s="6">
        <f t="shared" si="19"/>
        <v>-19.393936800563505</v>
      </c>
      <c r="E625" s="18"/>
      <c r="F625" s="18"/>
    </row>
    <row r="626" spans="2:6" x14ac:dyDescent="0.55000000000000004">
      <c r="B626" s="1">
        <v>614</v>
      </c>
      <c r="C626" s="6">
        <f t="shared" si="18"/>
        <v>-24.469088119856917</v>
      </c>
      <c r="D626" s="6">
        <f t="shared" si="19"/>
        <v>3.906881951464241</v>
      </c>
      <c r="E626" s="18"/>
      <c r="F626" s="18"/>
    </row>
    <row r="627" spans="2:6" x14ac:dyDescent="0.55000000000000004">
      <c r="B627" s="1">
        <v>615</v>
      </c>
      <c r="C627" s="6">
        <f t="shared" si="18"/>
        <v>20.698369858302641</v>
      </c>
      <c r="D627" s="6">
        <f t="shared" si="19"/>
        <v>13.659336924203489</v>
      </c>
      <c r="E627" s="18"/>
      <c r="F627" s="18"/>
    </row>
    <row r="628" spans="2:6" x14ac:dyDescent="0.55000000000000004">
      <c r="B628" s="1">
        <v>616</v>
      </c>
      <c r="C628" s="6">
        <f t="shared" si="18"/>
        <v>-6.0400132970419085</v>
      </c>
      <c r="D628" s="6">
        <f t="shared" si="19"/>
        <v>-24.073185069108678</v>
      </c>
      <c r="E628" s="18"/>
      <c r="F628" s="18"/>
    </row>
    <row r="629" spans="2:6" x14ac:dyDescent="0.55000000000000004">
      <c r="B629" s="1">
        <v>617</v>
      </c>
      <c r="C629" s="6">
        <f t="shared" si="18"/>
        <v>-11.817497096266028</v>
      </c>
      <c r="D629" s="6">
        <f t="shared" si="19"/>
        <v>21.848266804937733</v>
      </c>
      <c r="E629" s="18"/>
      <c r="F629" s="18"/>
    </row>
    <row r="630" spans="2:6" x14ac:dyDescent="0.55000000000000004">
      <c r="B630" s="1">
        <v>618</v>
      </c>
      <c r="C630" s="6">
        <f t="shared" si="18"/>
        <v>23.491321047035882</v>
      </c>
      <c r="D630" s="6">
        <f t="shared" si="19"/>
        <v>-8.1337467052453096</v>
      </c>
      <c r="E630" s="18"/>
      <c r="F630" s="18"/>
    </row>
    <row r="631" spans="2:6" x14ac:dyDescent="0.55000000000000004">
      <c r="B631" s="1">
        <v>619</v>
      </c>
      <c r="C631" s="6">
        <f t="shared" si="18"/>
        <v>-22.834292809028398</v>
      </c>
      <c r="D631" s="6">
        <f t="shared" si="19"/>
        <v>-9.8790218094482398</v>
      </c>
      <c r="E631" s="18"/>
      <c r="F631" s="18"/>
    </row>
    <row r="632" spans="2:6" x14ac:dyDescent="0.55000000000000004">
      <c r="B632" s="1">
        <v>620</v>
      </c>
      <c r="C632" s="6">
        <f t="shared" si="18"/>
        <v>10.171870992843157</v>
      </c>
      <c r="D632" s="6">
        <f t="shared" si="19"/>
        <v>22.727363254565102</v>
      </c>
      <c r="E632" s="18"/>
      <c r="F632" s="18"/>
    </row>
    <row r="633" spans="2:6" x14ac:dyDescent="0.55000000000000004">
      <c r="B633" s="1">
        <v>621</v>
      </c>
      <c r="C633" s="6">
        <f t="shared" si="18"/>
        <v>7.8584891838747311</v>
      </c>
      <c r="D633" s="6">
        <f t="shared" si="19"/>
        <v>-23.648343446146999</v>
      </c>
      <c r="E633" s="18"/>
      <c r="F633" s="18"/>
    </row>
    <row r="634" spans="2:6" x14ac:dyDescent="0.55000000000000004">
      <c r="B634" s="1">
        <v>622</v>
      </c>
      <c r="C634" s="6">
        <f t="shared" si="18"/>
        <v>-21.786592001655418</v>
      </c>
      <c r="D634" s="6">
        <f t="shared" si="19"/>
        <v>12.138550529342625</v>
      </c>
      <c r="E634" s="18"/>
      <c r="F634" s="18"/>
    </row>
    <row r="635" spans="2:6" x14ac:dyDescent="0.55000000000000004">
      <c r="B635" s="1">
        <v>623</v>
      </c>
      <c r="C635" s="6">
        <f t="shared" si="18"/>
        <v>24.283611051176244</v>
      </c>
      <c r="D635" s="6">
        <f t="shared" si="19"/>
        <v>5.7711553709106598</v>
      </c>
      <c r="E635" s="18"/>
      <c r="F635" s="18"/>
    </row>
    <row r="636" spans="2:6" x14ac:dyDescent="0.55000000000000004">
      <c r="B636" s="1">
        <v>624</v>
      </c>
      <c r="C636" s="6">
        <f t="shared" si="18"/>
        <v>-14.018448399682732</v>
      </c>
      <c r="D636" s="6">
        <f t="shared" si="19"/>
        <v>-20.675664547129621</v>
      </c>
      <c r="E636" s="18"/>
      <c r="F636" s="18"/>
    </row>
    <row r="637" spans="2:6" x14ac:dyDescent="0.55000000000000004">
      <c r="B637" s="1">
        <v>625</v>
      </c>
      <c r="C637" s="6">
        <f t="shared" si="18"/>
        <v>-3.63283921364203</v>
      </c>
      <c r="D637" s="6">
        <f t="shared" si="19"/>
        <v>24.734641279950367</v>
      </c>
      <c r="E637" s="18"/>
      <c r="F637" s="18"/>
    </row>
    <row r="638" spans="2:6" x14ac:dyDescent="0.55000000000000004">
      <c r="B638" s="1">
        <v>626</v>
      </c>
      <c r="C638" s="6">
        <f t="shared" si="18"/>
        <v>19.40256820614966</v>
      </c>
      <c r="D638" s="6">
        <f t="shared" si="19"/>
        <v>-15.796846109452053</v>
      </c>
      <c r="E638" s="18"/>
      <c r="F638" s="18"/>
    </row>
    <row r="639" spans="2:6" x14ac:dyDescent="0.55000000000000004">
      <c r="B639" s="1">
        <v>627</v>
      </c>
      <c r="C639" s="6">
        <f t="shared" si="18"/>
        <v>-24.997379413095739</v>
      </c>
      <c r="D639" s="6">
        <f t="shared" si="19"/>
        <v>-1.4598022050049166</v>
      </c>
      <c r="E639" s="18"/>
      <c r="F639" s="18"/>
    </row>
    <row r="640" spans="2:6" x14ac:dyDescent="0.55000000000000004">
      <c r="B640" s="1">
        <v>628</v>
      </c>
      <c r="C640" s="6">
        <f t="shared" si="18"/>
        <v>17.459758897753627</v>
      </c>
      <c r="D640" s="6">
        <f t="shared" si="19"/>
        <v>17.9765630539409</v>
      </c>
      <c r="E640" s="18"/>
      <c r="F640" s="18"/>
    </row>
    <row r="641" spans="2:6" x14ac:dyDescent="0.55000000000000004">
      <c r="B641" s="1">
        <v>629</v>
      </c>
      <c r="C641" s="6">
        <f t="shared" si="18"/>
        <v>-0.73137534404389648</v>
      </c>
      <c r="D641" s="6">
        <f t="shared" si="19"/>
        <v>-25.069206012678677</v>
      </c>
      <c r="E641" s="18"/>
      <c r="F641" s="18"/>
    </row>
    <row r="642" spans="2:6" x14ac:dyDescent="0.55000000000000004">
      <c r="B642" s="1">
        <v>630</v>
      </c>
      <c r="C642" s="6">
        <f t="shared" si="18"/>
        <v>-16.408114635979327</v>
      </c>
      <c r="D642" s="6">
        <f t="shared" si="19"/>
        <v>18.994045753671358</v>
      </c>
      <c r="E642" s="18"/>
      <c r="F642" s="18"/>
    </row>
    <row r="643" spans="2:6" x14ac:dyDescent="0.55000000000000004">
      <c r="B643" s="1">
        <v>631</v>
      </c>
      <c r="C643" s="6">
        <f t="shared" si="18"/>
        <v>24.948961623485893</v>
      </c>
      <c r="D643" s="6">
        <f t="shared" si="19"/>
        <v>-2.923920982145078</v>
      </c>
      <c r="E643" s="18"/>
      <c r="F643" s="18"/>
    </row>
    <row r="644" spans="2:6" x14ac:dyDescent="0.55000000000000004">
      <c r="B644" s="1">
        <v>632</v>
      </c>
      <c r="C644" s="6">
        <f t="shared" si="18"/>
        <v>-20.387513270800511</v>
      </c>
      <c r="D644" s="6">
        <f t="shared" si="19"/>
        <v>-14.708817173142549</v>
      </c>
      <c r="E644" s="18"/>
      <c r="F644" s="18"/>
    </row>
    <row r="645" spans="2:6" x14ac:dyDescent="0.55000000000000004">
      <c r="B645" s="1">
        <v>633</v>
      </c>
      <c r="C645" s="6">
        <f t="shared" si="18"/>
        <v>5.100998671916642</v>
      </c>
      <c r="D645" s="6">
        <f t="shared" si="19"/>
        <v>24.636960294425624</v>
      </c>
      <c r="E645" s="18"/>
      <c r="F645" s="18"/>
    </row>
    <row r="646" spans="2:6" x14ac:dyDescent="0.55000000000000004">
      <c r="B646" s="1">
        <v>634</v>
      </c>
      <c r="C646" s="6">
        <f t="shared" si="18"/>
        <v>12.8913078253818</v>
      </c>
      <c r="D646" s="6">
        <f t="shared" si="19"/>
        <v>-21.629012519096889</v>
      </c>
      <c r="E646" s="18"/>
      <c r="F646" s="18"/>
    </row>
    <row r="647" spans="2:6" x14ac:dyDescent="0.55000000000000004">
      <c r="B647" s="1">
        <v>635</v>
      </c>
      <c r="C647" s="6">
        <f t="shared" si="18"/>
        <v>-24.134991781274827</v>
      </c>
      <c r="D647" s="6">
        <f t="shared" si="19"/>
        <v>7.2458382343105381</v>
      </c>
      <c r="E647" s="18"/>
      <c r="F647" s="18"/>
    </row>
    <row r="648" spans="2:6" x14ac:dyDescent="0.55000000000000004">
      <c r="B648" s="1">
        <v>636</v>
      </c>
      <c r="C648" s="6">
        <f t="shared" si="18"/>
        <v>22.708528164801365</v>
      </c>
      <c r="D648" s="6">
        <f t="shared" si="19"/>
        <v>10.969172648309591</v>
      </c>
      <c r="E648" s="18"/>
      <c r="F648" s="18"/>
    </row>
    <row r="649" spans="2:6" x14ac:dyDescent="0.55000000000000004">
      <c r="B649" s="1">
        <v>637</v>
      </c>
      <c r="C649" s="6">
        <f t="shared" si="18"/>
        <v>-9.3418646866076429</v>
      </c>
      <c r="D649" s="6">
        <f t="shared" si="19"/>
        <v>-23.446312379073881</v>
      </c>
      <c r="E649" s="18"/>
      <c r="F649" s="18"/>
    </row>
    <row r="650" spans="2:6" x14ac:dyDescent="0.55000000000000004">
      <c r="B650" s="1">
        <v>638</v>
      </c>
      <c r="C650" s="6">
        <f t="shared" si="18"/>
        <v>-8.9568449430115589</v>
      </c>
      <c r="D650" s="6">
        <f t="shared" si="19"/>
        <v>23.617259126893796</v>
      </c>
      <c r="E650" s="18"/>
      <c r="F650" s="18"/>
    </row>
    <row r="651" spans="2:6" x14ac:dyDescent="0.55000000000000004">
      <c r="B651" s="1">
        <v>639</v>
      </c>
      <c r="C651" s="6">
        <f t="shared" si="18"/>
        <v>22.575624420106418</v>
      </c>
      <c r="D651" s="6">
        <f t="shared" si="19"/>
        <v>-11.372826475520265</v>
      </c>
      <c r="E651" s="18"/>
      <c r="F651" s="18"/>
    </row>
    <row r="652" spans="2:6" x14ac:dyDescent="0.55000000000000004">
      <c r="B652" s="1">
        <v>640</v>
      </c>
      <c r="C652" s="6">
        <f t="shared" si="18"/>
        <v>-24.347690121570491</v>
      </c>
      <c r="D652" s="6">
        <f t="shared" si="19"/>
        <v>-6.8694967606061805</v>
      </c>
      <c r="E652" s="18"/>
      <c r="F652" s="18"/>
    </row>
    <row r="653" spans="2:6" x14ac:dyDescent="0.55000000000000004">
      <c r="B653" s="1">
        <v>641</v>
      </c>
      <c r="C653" s="6">
        <f t="shared" ref="C653:C716" si="20">B653^$C$9*COS(2*PI()*B653/$C$8)</f>
        <v>13.322921612095429</v>
      </c>
      <c r="D653" s="6">
        <f t="shared" ref="D653:D716" si="21">B653^$C$9*SIN(2*PI()*B653/$C$8)</f>
        <v>21.529044561195942</v>
      </c>
      <c r="E653" s="18"/>
      <c r="F653" s="18"/>
    </row>
    <row r="654" spans="2:6" x14ac:dyDescent="0.55000000000000004">
      <c r="B654" s="1">
        <v>642</v>
      </c>
      <c r="C654" s="6">
        <f t="shared" si="20"/>
        <v>4.7229243780002426</v>
      </c>
      <c r="D654" s="6">
        <f t="shared" si="21"/>
        <v>-24.893653514895941</v>
      </c>
      <c r="E654" s="18"/>
      <c r="F654" s="18"/>
    </row>
    <row r="655" spans="2:6" x14ac:dyDescent="0.55000000000000004">
      <c r="B655" s="1">
        <v>643</v>
      </c>
      <c r="C655" s="6">
        <f t="shared" si="20"/>
        <v>-20.314061070945758</v>
      </c>
      <c r="D655" s="6">
        <f t="shared" si="21"/>
        <v>15.176920728721157</v>
      </c>
      <c r="E655" s="18"/>
      <c r="F655" s="18"/>
    </row>
    <row r="656" spans="2:6" x14ac:dyDescent="0.55000000000000004">
      <c r="B656" s="1">
        <v>644</v>
      </c>
      <c r="C656" s="6">
        <f t="shared" si="20"/>
        <v>25.250380976860498</v>
      </c>
      <c r="D656" s="6">
        <f t="shared" si="21"/>
        <v>2.5334286102832064</v>
      </c>
      <c r="E656" s="18"/>
      <c r="F656" s="18"/>
    </row>
    <row r="657" spans="2:6" x14ac:dyDescent="0.55000000000000004">
      <c r="B657" s="1">
        <v>645</v>
      </c>
      <c r="C657" s="6">
        <f t="shared" si="20"/>
        <v>-16.920286099160919</v>
      </c>
      <c r="D657" s="6">
        <f t="shared" si="21"/>
        <v>-18.93948041321466</v>
      </c>
      <c r="E657" s="18"/>
      <c r="F657" s="18"/>
    </row>
    <row r="658" spans="2:6" x14ac:dyDescent="0.55000000000000004">
      <c r="B658" s="1">
        <v>646</v>
      </c>
      <c r="C658" s="6">
        <f t="shared" si="20"/>
        <v>-0.31769086798766688</v>
      </c>
      <c r="D658" s="6">
        <f t="shared" si="21"/>
        <v>25.414544507277665</v>
      </c>
      <c r="E658" s="18"/>
      <c r="F658" s="18"/>
    </row>
    <row r="659" spans="2:6" x14ac:dyDescent="0.55000000000000004">
      <c r="B659" s="1">
        <v>647</v>
      </c>
      <c r="C659" s="6">
        <f t="shared" si="20"/>
        <v>17.415363506735329</v>
      </c>
      <c r="D659" s="6">
        <f t="shared" si="21"/>
        <v>-18.539285690885482</v>
      </c>
      <c r="E659" s="18"/>
      <c r="F659" s="18"/>
    </row>
    <row r="660" spans="2:6" x14ac:dyDescent="0.55000000000000004">
      <c r="B660" s="1">
        <v>648</v>
      </c>
      <c r="C660" s="6">
        <f t="shared" si="20"/>
        <v>-25.384286484903065</v>
      </c>
      <c r="D660" s="6">
        <f t="shared" si="21"/>
        <v>1.9073540972686731</v>
      </c>
      <c r="E660" s="18"/>
      <c r="F660" s="18"/>
    </row>
    <row r="661" spans="2:6" x14ac:dyDescent="0.55000000000000004">
      <c r="B661" s="1">
        <v>649</v>
      </c>
      <c r="C661" s="6">
        <f t="shared" si="20"/>
        <v>20.021101354760145</v>
      </c>
      <c r="D661" s="6">
        <f t="shared" si="21"/>
        <v>15.752952121504764</v>
      </c>
      <c r="E661" s="18"/>
      <c r="F661" s="18"/>
    </row>
    <row r="662" spans="2:6" x14ac:dyDescent="0.55000000000000004">
      <c r="B662" s="1">
        <v>650</v>
      </c>
      <c r="C662" s="6">
        <f t="shared" si="20"/>
        <v>-4.1246477868836591</v>
      </c>
      <c r="D662" s="6">
        <f t="shared" si="21"/>
        <v>-25.15923847484569</v>
      </c>
      <c r="E662" s="18"/>
      <c r="F662" s="18"/>
    </row>
    <row r="663" spans="2:6" x14ac:dyDescent="0.55000000000000004">
      <c r="B663" s="1">
        <v>651</v>
      </c>
      <c r="C663" s="6">
        <f t="shared" si="20"/>
        <v>-13.964585950456375</v>
      </c>
      <c r="D663" s="6">
        <f t="shared" si="21"/>
        <v>21.353930299415993</v>
      </c>
      <c r="E663" s="18"/>
      <c r="F663" s="18"/>
    </row>
    <row r="664" spans="2:6" x14ac:dyDescent="0.55000000000000004">
      <c r="B664" s="1">
        <v>652</v>
      </c>
      <c r="C664" s="6">
        <f t="shared" si="20"/>
        <v>24.74052861541583</v>
      </c>
      <c r="D664" s="6">
        <f t="shared" si="21"/>
        <v>-6.3171388958760799</v>
      </c>
      <c r="E664" s="18"/>
      <c r="F664" s="18"/>
    </row>
    <row r="665" spans="2:6" x14ac:dyDescent="0.55000000000000004">
      <c r="B665" s="1">
        <v>653</v>
      </c>
      <c r="C665" s="6">
        <f t="shared" si="20"/>
        <v>-22.527079047453491</v>
      </c>
      <c r="D665" s="6">
        <f t="shared" si="21"/>
        <v>-12.063610968104948</v>
      </c>
      <c r="E665" s="18"/>
      <c r="F665" s="18"/>
    </row>
    <row r="666" spans="2:6" x14ac:dyDescent="0.55000000000000004">
      <c r="B666" s="1">
        <v>654</v>
      </c>
      <c r="C666" s="6">
        <f t="shared" si="20"/>
        <v>8.4679145940562819</v>
      </c>
      <c r="D666" s="6">
        <f t="shared" si="21"/>
        <v>24.130777493229857</v>
      </c>
      <c r="E666" s="18"/>
      <c r="F666" s="18"/>
    </row>
    <row r="667" spans="2:6" x14ac:dyDescent="0.55000000000000004">
      <c r="B667" s="1">
        <v>655</v>
      </c>
      <c r="C667" s="6">
        <f t="shared" si="20"/>
        <v>10.06427975740929</v>
      </c>
      <c r="D667" s="6">
        <f t="shared" si="21"/>
        <v>-23.5310491258805</v>
      </c>
      <c r="E667" s="18"/>
      <c r="F667" s="18"/>
    </row>
    <row r="668" spans="2:6" x14ac:dyDescent="0.55000000000000004">
      <c r="B668" s="1">
        <v>656</v>
      </c>
      <c r="C668" s="6">
        <f t="shared" si="20"/>
        <v>-23.334082504066945</v>
      </c>
      <c r="D668" s="6">
        <f t="shared" si="21"/>
        <v>10.560331135594032</v>
      </c>
      <c r="E668" s="18"/>
      <c r="F668" s="18"/>
    </row>
    <row r="669" spans="2:6" x14ac:dyDescent="0.55000000000000004">
      <c r="B669" s="1">
        <v>657</v>
      </c>
      <c r="C669" s="6">
        <f t="shared" si="20"/>
        <v>24.357613805123904</v>
      </c>
      <c r="D669" s="6">
        <f t="shared" si="21"/>
        <v>7.9816445498679895</v>
      </c>
      <c r="E669" s="18"/>
      <c r="F669" s="18"/>
    </row>
    <row r="670" spans="2:6" x14ac:dyDescent="0.55000000000000004">
      <c r="B670" s="1">
        <v>658</v>
      </c>
      <c r="C670" s="6">
        <f t="shared" si="20"/>
        <v>-12.578142787427813</v>
      </c>
      <c r="D670" s="6">
        <f t="shared" si="21"/>
        <v>-22.355990785896243</v>
      </c>
      <c r="E670" s="18"/>
      <c r="F670" s="18"/>
    </row>
    <row r="671" spans="2:6" x14ac:dyDescent="0.55000000000000004">
      <c r="B671" s="1">
        <v>659</v>
      </c>
      <c r="C671" s="6">
        <f t="shared" si="20"/>
        <v>-5.831443782205648</v>
      </c>
      <c r="D671" s="6">
        <f t="shared" si="21"/>
        <v>24.99988526803623</v>
      </c>
      <c r="E671" s="18"/>
      <c r="F671" s="18"/>
    </row>
    <row r="672" spans="2:6" x14ac:dyDescent="0.55000000000000004">
      <c r="B672" s="1">
        <v>660</v>
      </c>
      <c r="C672" s="6">
        <f t="shared" si="20"/>
        <v>21.203460898887283</v>
      </c>
      <c r="D672" s="6">
        <f t="shared" si="21"/>
        <v>-14.505628077038175</v>
      </c>
      <c r="E672" s="18"/>
      <c r="F672" s="18"/>
    </row>
    <row r="673" spans="2:6" x14ac:dyDescent="0.55000000000000004">
      <c r="B673" s="1">
        <v>661</v>
      </c>
      <c r="C673" s="6">
        <f t="shared" si="20"/>
        <v>-25.45237166219707</v>
      </c>
      <c r="D673" s="6">
        <f t="shared" si="21"/>
        <v>-3.6299830260467516</v>
      </c>
      <c r="E673" s="18"/>
      <c r="F673" s="18"/>
    </row>
    <row r="674" spans="2:6" x14ac:dyDescent="0.55000000000000004">
      <c r="B674" s="1">
        <v>662</v>
      </c>
      <c r="C674" s="6">
        <f t="shared" si="20"/>
        <v>16.327712377308465</v>
      </c>
      <c r="D674" s="6">
        <f t="shared" si="21"/>
        <v>19.884813514938678</v>
      </c>
      <c r="E674" s="18"/>
      <c r="F674" s="18"/>
    </row>
    <row r="675" spans="2:6" x14ac:dyDescent="0.55000000000000004">
      <c r="B675" s="1">
        <v>663</v>
      </c>
      <c r="C675" s="6">
        <f t="shared" si="20"/>
        <v>1.3940111919394054</v>
      </c>
      <c r="D675" s="6">
        <f t="shared" si="21"/>
        <v>-25.711023565714914</v>
      </c>
      <c r="E675" s="18"/>
      <c r="F675" s="18"/>
    </row>
    <row r="676" spans="2:6" x14ac:dyDescent="0.55000000000000004">
      <c r="B676" s="1">
        <v>664</v>
      </c>
      <c r="C676" s="6">
        <f t="shared" si="20"/>
        <v>-18.409671464429262</v>
      </c>
      <c r="D676" s="6">
        <f t="shared" si="21"/>
        <v>18.030085872556985</v>
      </c>
      <c r="E676" s="18"/>
      <c r="F676" s="18"/>
    </row>
    <row r="677" spans="2:6" x14ac:dyDescent="0.55000000000000004">
      <c r="B677" s="1">
        <v>665</v>
      </c>
      <c r="C677" s="6">
        <f t="shared" si="20"/>
        <v>25.773269476750027</v>
      </c>
      <c r="D677" s="6">
        <f t="shared" si="21"/>
        <v>-0.85940705071889867</v>
      </c>
      <c r="E677" s="18"/>
      <c r="F677" s="18"/>
    </row>
    <row r="678" spans="2:6" x14ac:dyDescent="0.55000000000000004">
      <c r="B678" s="1">
        <v>666</v>
      </c>
      <c r="C678" s="6">
        <f t="shared" si="20"/>
        <v>-19.599315981781295</v>
      </c>
      <c r="D678" s="6">
        <f t="shared" si="21"/>
        <v>-16.78888957156763</v>
      </c>
      <c r="E678" s="18"/>
      <c r="F678" s="18"/>
    </row>
    <row r="679" spans="2:6" x14ac:dyDescent="0.55000000000000004">
      <c r="B679" s="1">
        <v>667</v>
      </c>
      <c r="C679" s="6">
        <f t="shared" si="20"/>
        <v>3.1130216652981972</v>
      </c>
      <c r="D679" s="6">
        <f t="shared" si="21"/>
        <v>25.638040020863219</v>
      </c>
      <c r="E679" s="18"/>
      <c r="F679" s="18"/>
    </row>
    <row r="680" spans="2:6" x14ac:dyDescent="0.55000000000000004">
      <c r="B680" s="1">
        <v>668</v>
      </c>
      <c r="C680" s="6">
        <f t="shared" si="20"/>
        <v>15.034474789537903</v>
      </c>
      <c r="D680" s="6">
        <f t="shared" si="21"/>
        <v>-21.022953355861997</v>
      </c>
      <c r="E680" s="18"/>
      <c r="F680" s="18"/>
    </row>
    <row r="681" spans="2:6" x14ac:dyDescent="0.55000000000000004">
      <c r="B681" s="1">
        <v>669</v>
      </c>
      <c r="C681" s="6">
        <f t="shared" si="20"/>
        <v>-25.305780656391491</v>
      </c>
      <c r="D681" s="6">
        <f t="shared" si="21"/>
        <v>5.3495294531951325</v>
      </c>
      <c r="E681" s="18"/>
      <c r="F681" s="18"/>
    </row>
    <row r="682" spans="2:6" x14ac:dyDescent="0.55000000000000004">
      <c r="B682" s="1">
        <v>670</v>
      </c>
      <c r="C682" s="6">
        <f t="shared" si="20"/>
        <v>22.289630612461778</v>
      </c>
      <c r="D682" s="6">
        <f t="shared" si="21"/>
        <v>13.159497222918768</v>
      </c>
      <c r="E682" s="18"/>
      <c r="F682" s="18"/>
    </row>
    <row r="683" spans="2:6" x14ac:dyDescent="0.55000000000000004">
      <c r="B683" s="1">
        <v>671</v>
      </c>
      <c r="C683" s="6">
        <f t="shared" si="20"/>
        <v>-7.5517070587843564</v>
      </c>
      <c r="D683" s="6">
        <f t="shared" si="21"/>
        <v>-24.778452746253276</v>
      </c>
      <c r="E683" s="18"/>
      <c r="F683" s="18"/>
    </row>
    <row r="684" spans="2:6" x14ac:dyDescent="0.55000000000000004">
      <c r="B684" s="1">
        <v>672</v>
      </c>
      <c r="C684" s="6">
        <f t="shared" si="20"/>
        <v>-11.177992697427539</v>
      </c>
      <c r="D684" s="6">
        <f t="shared" si="21"/>
        <v>23.389153025628282</v>
      </c>
      <c r="E684" s="18"/>
      <c r="F684" s="18"/>
    </row>
    <row r="685" spans="2:6" x14ac:dyDescent="0.55000000000000004">
      <c r="B685" s="1">
        <v>673</v>
      </c>
      <c r="C685" s="6">
        <f t="shared" si="20"/>
        <v>24.059522954096316</v>
      </c>
      <c r="D685" s="6">
        <f t="shared" si="21"/>
        <v>-9.7025437500334135</v>
      </c>
      <c r="E685" s="18"/>
      <c r="F685" s="18"/>
    </row>
    <row r="686" spans="2:6" x14ac:dyDescent="0.55000000000000004">
      <c r="B686" s="1">
        <v>674</v>
      </c>
      <c r="C686" s="6">
        <f t="shared" si="20"/>
        <v>-24.312580447631785</v>
      </c>
      <c r="D686" s="6">
        <f t="shared" si="21"/>
        <v>-9.1048576033583668</v>
      </c>
      <c r="E686" s="18"/>
      <c r="F686" s="18"/>
    </row>
    <row r="687" spans="2:6" x14ac:dyDescent="0.55000000000000004">
      <c r="B687" s="1">
        <v>675</v>
      </c>
      <c r="C687" s="6">
        <f t="shared" si="20"/>
        <v>11.785372950680289</v>
      </c>
      <c r="D687" s="6">
        <f t="shared" si="21"/>
        <v>23.153941012565731</v>
      </c>
      <c r="E687" s="18"/>
      <c r="F687" s="18"/>
    </row>
    <row r="688" spans="2:6" x14ac:dyDescent="0.55000000000000004">
      <c r="B688" s="1">
        <v>676</v>
      </c>
      <c r="C688" s="6">
        <f t="shared" si="20"/>
        <v>6.9557368017363803</v>
      </c>
      <c r="D688" s="6">
        <f t="shared" si="21"/>
        <v>-25.05229980550628</v>
      </c>
      <c r="E688" s="18"/>
      <c r="F688" s="18"/>
    </row>
    <row r="689" spans="2:6" x14ac:dyDescent="0.55000000000000004">
      <c r="B689" s="1">
        <v>677</v>
      </c>
      <c r="C689" s="6">
        <f t="shared" si="20"/>
        <v>-22.068106001549779</v>
      </c>
      <c r="D689" s="6">
        <f t="shared" si="21"/>
        <v>13.784001505526716</v>
      </c>
      <c r="E689" s="18"/>
      <c r="F689" s="18"/>
    </row>
    <row r="690" spans="2:6" x14ac:dyDescent="0.55000000000000004">
      <c r="B690" s="1">
        <v>678</v>
      </c>
      <c r="C690" s="6">
        <f t="shared" si="20"/>
        <v>25.602087586180012</v>
      </c>
      <c r="D690" s="6">
        <f t="shared" si="21"/>
        <v>4.746905437184032</v>
      </c>
      <c r="E690" s="18"/>
      <c r="F690" s="18"/>
    </row>
    <row r="691" spans="2:6" x14ac:dyDescent="0.55000000000000004">
      <c r="B691" s="1">
        <v>679</v>
      </c>
      <c r="C691" s="6">
        <f t="shared" si="20"/>
        <v>-15.682835675638843</v>
      </c>
      <c r="D691" s="6">
        <f t="shared" si="21"/>
        <v>-20.809821363262817</v>
      </c>
      <c r="E691" s="18"/>
      <c r="F691" s="18"/>
    </row>
    <row r="692" spans="2:6" x14ac:dyDescent="0.55000000000000004">
      <c r="B692" s="1">
        <v>680</v>
      </c>
      <c r="C692" s="6">
        <f t="shared" si="20"/>
        <v>-2.4951455516886409</v>
      </c>
      <c r="D692" s="6">
        <f t="shared" si="21"/>
        <v>25.95716179931636</v>
      </c>
      <c r="E692" s="18"/>
      <c r="F692" s="18"/>
    </row>
    <row r="693" spans="2:6" x14ac:dyDescent="0.55000000000000004">
      <c r="B693" s="1">
        <v>681</v>
      </c>
      <c r="C693" s="6">
        <f t="shared" si="20"/>
        <v>19.388238968498975</v>
      </c>
      <c r="D693" s="6">
        <f t="shared" si="21"/>
        <v>-17.467002882589153</v>
      </c>
      <c r="E693" s="18"/>
      <c r="F693" s="18"/>
    </row>
    <row r="694" spans="2:6" x14ac:dyDescent="0.55000000000000004">
      <c r="B694" s="1">
        <v>682</v>
      </c>
      <c r="C694" s="6">
        <f t="shared" si="20"/>
        <v>-26.114222987035241</v>
      </c>
      <c r="D694" s="6">
        <f t="shared" si="21"/>
        <v>-0.21761843534097508</v>
      </c>
      <c r="E694" s="18"/>
      <c r="F694" s="18"/>
    </row>
    <row r="695" spans="2:6" x14ac:dyDescent="0.55000000000000004">
      <c r="B695" s="1">
        <v>683</v>
      </c>
      <c r="C695" s="6">
        <f t="shared" si="20"/>
        <v>19.122468250369721</v>
      </c>
      <c r="D695" s="6">
        <f t="shared" si="21"/>
        <v>17.81379263418102</v>
      </c>
      <c r="E695" s="18"/>
      <c r="F695" s="18"/>
    </row>
    <row r="696" spans="2:6" x14ac:dyDescent="0.55000000000000004">
      <c r="B696" s="1">
        <v>684</v>
      </c>
      <c r="C696" s="6">
        <f t="shared" si="20"/>
        <v>-2.0682663133560375</v>
      </c>
      <c r="D696" s="6">
        <f t="shared" si="21"/>
        <v>-26.071483932776758</v>
      </c>
      <c r="E696" s="18"/>
      <c r="F696" s="18"/>
    </row>
    <row r="697" spans="2:6" x14ac:dyDescent="0.55000000000000004">
      <c r="B697" s="1">
        <v>685</v>
      </c>
      <c r="C697" s="6">
        <f t="shared" si="20"/>
        <v>-16.098121574274906</v>
      </c>
      <c r="D697" s="6">
        <f t="shared" si="21"/>
        <v>20.636145031954605</v>
      </c>
      <c r="E697" s="18"/>
      <c r="F697" s="18"/>
    </row>
    <row r="698" spans="2:6" x14ac:dyDescent="0.55000000000000004">
      <c r="B698" s="1">
        <v>686</v>
      </c>
      <c r="C698" s="6">
        <f t="shared" si="20"/>
        <v>25.8286878080036</v>
      </c>
      <c r="D698" s="6">
        <f t="shared" si="21"/>
        <v>-4.3449840180012274</v>
      </c>
      <c r="E698" s="18"/>
      <c r="F698" s="18"/>
    </row>
    <row r="699" spans="2:6" x14ac:dyDescent="0.55000000000000004">
      <c r="B699" s="1">
        <v>687</v>
      </c>
      <c r="C699" s="6">
        <f t="shared" si="20"/>
        <v>-21.995998051177818</v>
      </c>
      <c r="D699" s="6">
        <f t="shared" si="21"/>
        <v>-14.253984345879633</v>
      </c>
      <c r="E699" s="18"/>
      <c r="F699" s="18"/>
    </row>
    <row r="700" spans="2:6" x14ac:dyDescent="0.55000000000000004">
      <c r="B700" s="1">
        <v>688</v>
      </c>
      <c r="C700" s="6">
        <f t="shared" si="20"/>
        <v>6.5950294244591596</v>
      </c>
      <c r="D700" s="6">
        <f t="shared" si="21"/>
        <v>25.387114583790687</v>
      </c>
      <c r="E700" s="18"/>
      <c r="F700" s="18"/>
    </row>
    <row r="701" spans="2:6" x14ac:dyDescent="0.55000000000000004">
      <c r="B701" s="1">
        <v>689</v>
      </c>
      <c r="C701" s="6">
        <f t="shared" si="20"/>
        <v>12.295163926599463</v>
      </c>
      <c r="D701" s="6">
        <f t="shared" si="21"/>
        <v>-23.191139342819</v>
      </c>
      <c r="E701" s="18"/>
      <c r="F701" s="18"/>
    </row>
    <row r="702" spans="2:6" x14ac:dyDescent="0.55000000000000004">
      <c r="B702" s="1">
        <v>690</v>
      </c>
      <c r="C702" s="6">
        <f t="shared" si="20"/>
        <v>-24.749575624536227</v>
      </c>
      <c r="D702" s="6">
        <f t="shared" si="21"/>
        <v>8.8010514374909992</v>
      </c>
      <c r="E702" s="18"/>
      <c r="F702" s="18"/>
    </row>
    <row r="703" spans="2:6" x14ac:dyDescent="0.55000000000000004">
      <c r="B703" s="1">
        <v>691</v>
      </c>
      <c r="C703" s="6">
        <f t="shared" si="20"/>
        <v>24.2119152311204</v>
      </c>
      <c r="D703" s="6">
        <f t="shared" si="21"/>
        <v>10.236364630133099</v>
      </c>
      <c r="E703" s="18"/>
      <c r="F703" s="18"/>
    </row>
    <row r="704" spans="2:6" x14ac:dyDescent="0.55000000000000004">
      <c r="B704" s="1">
        <v>692</v>
      </c>
      <c r="C704" s="6">
        <f t="shared" si="20"/>
        <v>-10.945987055858966</v>
      </c>
      <c r="D704" s="6">
        <f t="shared" si="21"/>
        <v>-23.920396471901714</v>
      </c>
      <c r="E704" s="18"/>
      <c r="F704" s="18"/>
    </row>
    <row r="705" spans="2:6" x14ac:dyDescent="0.55000000000000004">
      <c r="B705" s="1">
        <v>693</v>
      </c>
      <c r="C705" s="6">
        <f t="shared" si="20"/>
        <v>-8.0931016313895299</v>
      </c>
      <c r="D705" s="6">
        <f t="shared" si="21"/>
        <v>25.049984151372236</v>
      </c>
      <c r="E705" s="18"/>
      <c r="F705" s="18"/>
    </row>
    <row r="706" spans="2:6" x14ac:dyDescent="0.55000000000000004">
      <c r="B706" s="1">
        <v>694</v>
      </c>
      <c r="C706" s="6">
        <f t="shared" si="20"/>
        <v>22.905387918385308</v>
      </c>
      <c r="D706" s="6">
        <f t="shared" si="21"/>
        <v>-13.013193470792958</v>
      </c>
      <c r="E706" s="18"/>
      <c r="F706" s="18"/>
    </row>
    <row r="707" spans="2:6" x14ac:dyDescent="0.55000000000000004">
      <c r="B707" s="1">
        <v>695</v>
      </c>
      <c r="C707" s="6">
        <f t="shared" si="20"/>
        <v>-25.698384588310343</v>
      </c>
      <c r="D707" s="6">
        <f t="shared" si="21"/>
        <v>-5.8815839321813321</v>
      </c>
      <c r="E707" s="18"/>
      <c r="F707" s="18"/>
    </row>
    <row r="708" spans="2:6" x14ac:dyDescent="0.55000000000000004">
      <c r="B708" s="1">
        <v>696</v>
      </c>
      <c r="C708" s="6">
        <f t="shared" si="20"/>
        <v>14.986577304703731</v>
      </c>
      <c r="D708" s="6">
        <f t="shared" si="21"/>
        <v>21.711805560342953</v>
      </c>
      <c r="E708" s="18"/>
      <c r="F708" s="18"/>
    </row>
    <row r="709" spans="2:6" x14ac:dyDescent="0.55000000000000004">
      <c r="B709" s="1">
        <v>697</v>
      </c>
      <c r="C709" s="6">
        <f t="shared" si="20"/>
        <v>3.6185916510567444</v>
      </c>
      <c r="D709" s="6">
        <f t="shared" si="21"/>
        <v>-26.151592579858352</v>
      </c>
      <c r="E709" s="18"/>
      <c r="F709" s="18"/>
    </row>
    <row r="710" spans="2:6" x14ac:dyDescent="0.55000000000000004">
      <c r="B710" s="1">
        <v>698</v>
      </c>
      <c r="C710" s="6">
        <f t="shared" si="20"/>
        <v>-20.348298110068949</v>
      </c>
      <c r="D710" s="6">
        <f t="shared" si="21"/>
        <v>16.850719985323011</v>
      </c>
      <c r="E710" s="18"/>
      <c r="F710" s="18"/>
    </row>
    <row r="711" spans="2:6" x14ac:dyDescent="0.55000000000000004">
      <c r="B711" s="1">
        <v>699</v>
      </c>
      <c r="C711" s="6">
        <f t="shared" si="20"/>
        <v>26.405568313590845</v>
      </c>
      <c r="D711" s="6">
        <f t="shared" si="21"/>
        <v>1.3213485672930076</v>
      </c>
      <c r="E711" s="18"/>
      <c r="F711" s="18"/>
    </row>
    <row r="712" spans="2:6" x14ac:dyDescent="0.55000000000000004">
      <c r="B712" s="1">
        <v>700</v>
      </c>
      <c r="C712" s="6">
        <f t="shared" si="20"/>
        <v>-18.590998278543594</v>
      </c>
      <c r="D712" s="6">
        <f t="shared" si="21"/>
        <v>-18.824844833548806</v>
      </c>
      <c r="E712" s="18"/>
      <c r="F712" s="18"/>
    </row>
    <row r="713" spans="2:6" x14ac:dyDescent="0.55000000000000004">
      <c r="B713" s="1">
        <v>701</v>
      </c>
      <c r="C713" s="6">
        <f t="shared" si="20"/>
        <v>0.9926091117178758</v>
      </c>
      <c r="D713" s="6">
        <f t="shared" si="21"/>
        <v>26.457791426181714</v>
      </c>
      <c r="E713" s="18"/>
      <c r="F713" s="18"/>
    </row>
    <row r="714" spans="2:6" x14ac:dyDescent="0.55000000000000004">
      <c r="B714" s="1">
        <v>702</v>
      </c>
      <c r="C714" s="6">
        <f t="shared" si="20"/>
        <v>17.152682565978534</v>
      </c>
      <c r="D714" s="6">
        <f t="shared" si="21"/>
        <v>-20.193699036847509</v>
      </c>
      <c r="E714" s="18"/>
      <c r="F714" s="18"/>
    </row>
    <row r="715" spans="2:6" x14ac:dyDescent="0.55000000000000004">
      <c r="B715" s="1">
        <v>703</v>
      </c>
      <c r="C715" s="6">
        <f t="shared" si="20"/>
        <v>-26.307284702197617</v>
      </c>
      <c r="D715" s="6">
        <f t="shared" si="21"/>
        <v>3.3055667588961462</v>
      </c>
      <c r="E715" s="18"/>
      <c r="F715" s="18"/>
    </row>
    <row r="716" spans="2:6" x14ac:dyDescent="0.55000000000000004">
      <c r="B716" s="1">
        <v>704</v>
      </c>
      <c r="C716" s="6">
        <f t="shared" si="20"/>
        <v>21.646127263088221</v>
      </c>
      <c r="D716" s="6">
        <f t="shared" si="21"/>
        <v>15.344222838260299</v>
      </c>
      <c r="E716" s="18"/>
      <c r="F716" s="18"/>
    </row>
    <row r="717" spans="2:6" x14ac:dyDescent="0.55000000000000004">
      <c r="B717" s="1">
        <v>705</v>
      </c>
      <c r="C717" s="6">
        <f t="shared" ref="C717:C780" si="22">B717^$C$9*COS(2*PI()*B717/$C$8)</f>
        <v>-5.5997670862298561</v>
      </c>
      <c r="D717" s="6">
        <f t="shared" ref="D717:D780" si="23">B717^$C$9*SIN(2*PI()*B717/$C$8)</f>
        <v>-25.954625957234999</v>
      </c>
      <c r="E717" s="18"/>
      <c r="F717" s="18"/>
    </row>
    <row r="718" spans="2:6" x14ac:dyDescent="0.55000000000000004">
      <c r="B718" s="1">
        <v>706</v>
      </c>
      <c r="C718" s="6">
        <f t="shared" si="22"/>
        <v>-13.412959725978469</v>
      </c>
      <c r="D718" s="6">
        <f t="shared" si="23"/>
        <v>22.936706637817025</v>
      </c>
      <c r="E718" s="18"/>
      <c r="F718" s="18"/>
    </row>
    <row r="719" spans="2:6" x14ac:dyDescent="0.55000000000000004">
      <c r="B719" s="1">
        <v>707</v>
      </c>
      <c r="C719" s="6">
        <f t="shared" si="22"/>
        <v>25.401947980960333</v>
      </c>
      <c r="D719" s="6">
        <f t="shared" si="23"/>
        <v>-7.8575466128165754</v>
      </c>
      <c r="E719" s="18"/>
      <c r="F719" s="18"/>
    </row>
    <row r="720" spans="2:6" x14ac:dyDescent="0.55000000000000004">
      <c r="B720" s="1">
        <v>708</v>
      </c>
      <c r="C720" s="6">
        <f t="shared" si="22"/>
        <v>-24.055071714738727</v>
      </c>
      <c r="D720" s="6">
        <f t="shared" si="23"/>
        <v>-11.373369105009157</v>
      </c>
      <c r="E720" s="18"/>
      <c r="F720" s="18"/>
    </row>
    <row r="721" spans="2:6" x14ac:dyDescent="0.55000000000000004">
      <c r="B721" s="1">
        <v>709</v>
      </c>
      <c r="C721" s="6">
        <f t="shared" si="22"/>
        <v>10.061471791820917</v>
      </c>
      <c r="D721" s="6">
        <f t="shared" si="23"/>
        <v>24.652926507463413</v>
      </c>
      <c r="E721" s="18"/>
      <c r="F721" s="18"/>
    </row>
    <row r="722" spans="2:6" x14ac:dyDescent="0.55000000000000004">
      <c r="B722" s="1">
        <v>710</v>
      </c>
      <c r="C722" s="6">
        <f t="shared" si="22"/>
        <v>9.240800066793156</v>
      </c>
      <c r="D722" s="6">
        <f t="shared" si="23"/>
        <v>-24.992151050390913</v>
      </c>
      <c r="E722" s="18"/>
      <c r="F722" s="18"/>
    </row>
    <row r="723" spans="2:6" x14ac:dyDescent="0.55000000000000004">
      <c r="B723" s="1">
        <v>711</v>
      </c>
      <c r="C723" s="6">
        <f t="shared" si="22"/>
        <v>-23.712756272434742</v>
      </c>
      <c r="D723" s="6">
        <f t="shared" si="23"/>
        <v>12.194473746911209</v>
      </c>
      <c r="E723" s="18"/>
      <c r="F723" s="18"/>
    </row>
    <row r="724" spans="2:6" x14ac:dyDescent="0.55000000000000004">
      <c r="B724" s="1">
        <v>712</v>
      </c>
      <c r="C724" s="6">
        <f t="shared" si="22"/>
        <v>25.740240602592063</v>
      </c>
      <c r="D724" s="6">
        <f t="shared" si="23"/>
        <v>7.0313593081758379</v>
      </c>
      <c r="E724" s="18"/>
      <c r="F724" s="18"/>
    </row>
    <row r="725" spans="2:6" x14ac:dyDescent="0.55000000000000004">
      <c r="B725" s="1">
        <v>713</v>
      </c>
      <c r="C725" s="6">
        <f t="shared" si="22"/>
        <v>-14.239980575436057</v>
      </c>
      <c r="D725" s="6">
        <f t="shared" si="23"/>
        <v>-22.588115308967321</v>
      </c>
      <c r="E725" s="18"/>
      <c r="F725" s="18"/>
    </row>
    <row r="726" spans="2:6" x14ac:dyDescent="0.55000000000000004">
      <c r="B726" s="1">
        <v>714</v>
      </c>
      <c r="C726" s="6">
        <f t="shared" si="22"/>
        <v>-4.7617893674403131</v>
      </c>
      <c r="D726" s="6">
        <f t="shared" si="23"/>
        <v>26.293066805150982</v>
      </c>
      <c r="E726" s="18"/>
      <c r="F726" s="18"/>
    </row>
    <row r="727" spans="2:6" x14ac:dyDescent="0.55000000000000004">
      <c r="B727" s="1">
        <v>715</v>
      </c>
      <c r="C727" s="6">
        <f t="shared" si="22"/>
        <v>21.28711772466767</v>
      </c>
      <c r="D727" s="6">
        <f t="shared" si="23"/>
        <v>-16.182046192498021</v>
      </c>
      <c r="E727" s="18"/>
      <c r="F727" s="18"/>
    </row>
    <row r="728" spans="2:6" x14ac:dyDescent="0.55000000000000004">
      <c r="B728" s="1">
        <v>716</v>
      </c>
      <c r="C728" s="6">
        <f t="shared" si="22"/>
        <v>-26.645838804367418</v>
      </c>
      <c r="D728" s="6">
        <f t="shared" si="23"/>
        <v>-2.4493416282069718</v>
      </c>
      <c r="E728" s="18"/>
      <c r="F728" s="18"/>
    </row>
    <row r="729" spans="2:6" x14ac:dyDescent="0.55000000000000004">
      <c r="B729" s="1">
        <v>717</v>
      </c>
      <c r="C729" s="6">
        <f t="shared" si="22"/>
        <v>18.005474713329129</v>
      </c>
      <c r="D729" s="6">
        <f t="shared" si="23"/>
        <v>19.81925529245903</v>
      </c>
      <c r="E729" s="18"/>
      <c r="F729" s="18"/>
    </row>
    <row r="730" spans="2:6" x14ac:dyDescent="0.55000000000000004">
      <c r="B730" s="1">
        <v>718</v>
      </c>
      <c r="C730" s="6">
        <f t="shared" si="22"/>
        <v>0.11164505506880389</v>
      </c>
      <c r="D730" s="6">
        <f t="shared" si="23"/>
        <v>-26.79528942522694</v>
      </c>
      <c r="E730" s="18"/>
      <c r="F730" s="18"/>
    </row>
    <row r="731" spans="2:6" x14ac:dyDescent="0.55000000000000004">
      <c r="B731" s="1">
        <v>719</v>
      </c>
      <c r="C731" s="6">
        <f t="shared" si="22"/>
        <v>-18.19532827464872</v>
      </c>
      <c r="D731" s="6">
        <f t="shared" si="23"/>
        <v>19.695939403282313</v>
      </c>
      <c r="E731" s="18"/>
      <c r="F731" s="18"/>
    </row>
    <row r="732" spans="2:6" x14ac:dyDescent="0.55000000000000004">
      <c r="B732" s="1">
        <v>720</v>
      </c>
      <c r="C732" s="6">
        <f t="shared" si="22"/>
        <v>26.739704520731831</v>
      </c>
      <c r="D732" s="6">
        <f t="shared" si="23"/>
        <v>-2.2334283386654357</v>
      </c>
      <c r="E732" s="18"/>
      <c r="F732" s="18"/>
    </row>
    <row r="733" spans="2:6" x14ac:dyDescent="0.55000000000000004">
      <c r="B733" s="1">
        <v>721</v>
      </c>
      <c r="C733" s="6">
        <f t="shared" si="22"/>
        <v>-21.240095264333966</v>
      </c>
      <c r="D733" s="6">
        <f t="shared" si="23"/>
        <v>-16.42736598368764</v>
      </c>
      <c r="E733" s="18"/>
      <c r="F733" s="18"/>
    </row>
    <row r="734" spans="2:6" x14ac:dyDescent="0.55000000000000004">
      <c r="B734" s="1">
        <v>722</v>
      </c>
      <c r="C734" s="6">
        <f t="shared" si="22"/>
        <v>4.5679002640285438</v>
      </c>
      <c r="D734" s="6">
        <f t="shared" si="23"/>
        <v>26.478940446662289</v>
      </c>
      <c r="E734" s="18"/>
      <c r="F734" s="18"/>
    </row>
    <row r="735" spans="2:6" x14ac:dyDescent="0.55000000000000004">
      <c r="B735" s="1">
        <v>723</v>
      </c>
      <c r="C735" s="6">
        <f t="shared" si="22"/>
        <v>14.528537664107954</v>
      </c>
      <c r="D735" s="6">
        <f t="shared" si="23"/>
        <v>-22.625684372911163</v>
      </c>
      <c r="E735" s="18"/>
      <c r="F735" s="18"/>
    </row>
    <row r="736" spans="2:6" x14ac:dyDescent="0.55000000000000004">
      <c r="B736" s="1">
        <v>724</v>
      </c>
      <c r="C736" s="6">
        <f t="shared" si="22"/>
        <v>-26.01442949481725</v>
      </c>
      <c r="D736" s="6">
        <f t="shared" si="23"/>
        <v>6.8738241219267637</v>
      </c>
      <c r="E736" s="18"/>
      <c r="F736" s="18"/>
    </row>
    <row r="737" spans="2:6" x14ac:dyDescent="0.55000000000000004">
      <c r="B737" s="1">
        <v>725</v>
      </c>
      <c r="C737" s="6">
        <f t="shared" si="22"/>
        <v>23.841633138079445</v>
      </c>
      <c r="D737" s="6">
        <f t="shared" si="23"/>
        <v>12.513054355721151</v>
      </c>
      <c r="E737" s="18"/>
      <c r="F737" s="18"/>
    </row>
    <row r="738" spans="2:6" x14ac:dyDescent="0.55000000000000004">
      <c r="B738" s="1">
        <v>726</v>
      </c>
      <c r="C738" s="6">
        <f t="shared" si="22"/>
        <v>-9.133423101826601</v>
      </c>
      <c r="D738" s="6">
        <f t="shared" si="23"/>
        <v>-25.349173210245343</v>
      </c>
      <c r="E738" s="18"/>
      <c r="F738" s="18"/>
    </row>
    <row r="739" spans="2:6" x14ac:dyDescent="0.55000000000000004">
      <c r="B739" s="1">
        <v>727</v>
      </c>
      <c r="C739" s="6">
        <f t="shared" si="22"/>
        <v>-10.396062470086179</v>
      </c>
      <c r="D739" s="6">
        <f t="shared" si="23"/>
        <v>24.87814070862342</v>
      </c>
      <c r="E739" s="18"/>
      <c r="F739" s="18"/>
    </row>
    <row r="740" spans="2:6" x14ac:dyDescent="0.55000000000000004">
      <c r="B740" s="1">
        <v>728</v>
      </c>
      <c r="C740" s="6">
        <f t="shared" si="22"/>
        <v>24.487723611233129</v>
      </c>
      <c r="D740" s="6">
        <f t="shared" si="23"/>
        <v>-11.32922734964108</v>
      </c>
      <c r="E740" s="18"/>
      <c r="F740" s="18"/>
    </row>
    <row r="741" spans="2:6" x14ac:dyDescent="0.55000000000000004">
      <c r="B741" s="1">
        <v>729</v>
      </c>
      <c r="C741" s="6">
        <f t="shared" si="22"/>
        <v>-25.726757824226169</v>
      </c>
      <c r="D741" s="6">
        <f t="shared" si="23"/>
        <v>-8.193529877508082</v>
      </c>
      <c r="E741" s="18"/>
      <c r="F741" s="18"/>
    </row>
    <row r="742" spans="2:6" x14ac:dyDescent="0.55000000000000004">
      <c r="B742" s="1">
        <v>730</v>
      </c>
      <c r="C742" s="6">
        <f t="shared" si="22"/>
        <v>13.444209145719832</v>
      </c>
      <c r="D742" s="6">
        <f t="shared" si="23"/>
        <v>23.436152424110556</v>
      </c>
      <c r="E742" s="18"/>
      <c r="F742" s="18"/>
    </row>
    <row r="743" spans="2:6" x14ac:dyDescent="0.55000000000000004">
      <c r="B743" s="1">
        <v>731</v>
      </c>
      <c r="C743" s="6">
        <f t="shared" si="22"/>
        <v>5.9221253622760939</v>
      </c>
      <c r="D743" s="6">
        <f t="shared" si="23"/>
        <v>-26.380455477369726</v>
      </c>
      <c r="E743" s="18"/>
      <c r="F743" s="18"/>
    </row>
    <row r="744" spans="2:6" x14ac:dyDescent="0.55000000000000004">
      <c r="B744" s="1">
        <v>732</v>
      </c>
      <c r="C744" s="6">
        <f t="shared" si="22"/>
        <v>-22.202008537668746</v>
      </c>
      <c r="D744" s="6">
        <f t="shared" si="23"/>
        <v>15.461915046115216</v>
      </c>
      <c r="E744" s="18"/>
      <c r="F744" s="18"/>
    </row>
    <row r="745" spans="2:6" x14ac:dyDescent="0.55000000000000004">
      <c r="B745" s="1">
        <v>733</v>
      </c>
      <c r="C745" s="6">
        <f t="shared" si="22"/>
        <v>26.833682829739658</v>
      </c>
      <c r="D745" s="6">
        <f t="shared" si="23"/>
        <v>3.5990923568220823</v>
      </c>
      <c r="E745" s="18"/>
      <c r="F745" s="18"/>
    </row>
    <row r="746" spans="2:6" x14ac:dyDescent="0.55000000000000004">
      <c r="B746" s="1">
        <v>734</v>
      </c>
      <c r="C746" s="6">
        <f t="shared" si="22"/>
        <v>-17.366593960946506</v>
      </c>
      <c r="D746" s="6">
        <f t="shared" si="23"/>
        <v>-20.79426397340421</v>
      </c>
      <c r="E746" s="18"/>
      <c r="F746" s="18"/>
    </row>
    <row r="747" spans="2:6" x14ac:dyDescent="0.55000000000000004">
      <c r="B747" s="1">
        <v>735</v>
      </c>
      <c r="C747" s="6">
        <f t="shared" si="22"/>
        <v>-1.2421179123217274</v>
      </c>
      <c r="D747" s="6">
        <f t="shared" si="23"/>
        <v>27.082413908141373</v>
      </c>
      <c r="E747" s="18"/>
      <c r="F747" s="18"/>
    </row>
    <row r="748" spans="2:6" x14ac:dyDescent="0.55000000000000004">
      <c r="B748" s="1">
        <v>736</v>
      </c>
      <c r="C748" s="6">
        <f t="shared" si="22"/>
        <v>19.223248756985672</v>
      </c>
      <c r="D748" s="6">
        <f t="shared" si="23"/>
        <v>-19.143320172505312</v>
      </c>
      <c r="E748" s="18"/>
      <c r="F748" s="18"/>
    </row>
    <row r="749" spans="2:6" x14ac:dyDescent="0.55000000000000004">
      <c r="B749" s="1">
        <v>737</v>
      </c>
      <c r="C749" s="6">
        <f t="shared" si="22"/>
        <v>-27.124182690278371</v>
      </c>
      <c r="D749" s="6">
        <f t="shared" si="23"/>
        <v>1.1308020978063809</v>
      </c>
      <c r="E749" s="18"/>
      <c r="F749" s="18"/>
    </row>
    <row r="750" spans="2:6" x14ac:dyDescent="0.55000000000000004">
      <c r="B750" s="1">
        <v>738</v>
      </c>
      <c r="C750" s="6">
        <f t="shared" si="22"/>
        <v>20.778110331701829</v>
      </c>
      <c r="D750" s="6">
        <f t="shared" si="23"/>
        <v>17.500575163223228</v>
      </c>
      <c r="E750" s="18"/>
      <c r="F750" s="18"/>
    </row>
    <row r="751" spans="2:6" x14ac:dyDescent="0.55000000000000004">
      <c r="B751" s="1">
        <v>739</v>
      </c>
      <c r="C751" s="6">
        <f t="shared" si="22"/>
        <v>-3.5015005129528958</v>
      </c>
      <c r="D751" s="6">
        <f t="shared" si="23"/>
        <v>-26.958106279147106</v>
      </c>
      <c r="E751" s="18"/>
      <c r="F751" s="18"/>
    </row>
    <row r="752" spans="2:6" x14ac:dyDescent="0.55000000000000004">
      <c r="B752" s="1">
        <v>740</v>
      </c>
      <c r="C752" s="6">
        <f t="shared" si="22"/>
        <v>-15.639051889576244</v>
      </c>
      <c r="D752" s="6">
        <f t="shared" si="23"/>
        <v>22.25803351590481</v>
      </c>
      <c r="E752" s="18"/>
      <c r="F752" s="18"/>
    </row>
    <row r="753" spans="2:6" x14ac:dyDescent="0.55000000000000004">
      <c r="B753" s="1">
        <v>741</v>
      </c>
      <c r="C753" s="6">
        <f t="shared" si="22"/>
        <v>26.584895955934989</v>
      </c>
      <c r="D753" s="6">
        <f t="shared" si="23"/>
        <v>-5.8517781068758445</v>
      </c>
      <c r="E753" s="18"/>
      <c r="F753" s="18"/>
    </row>
    <row r="754" spans="2:6" x14ac:dyDescent="0.55000000000000004">
      <c r="B754" s="1">
        <v>742</v>
      </c>
      <c r="C754" s="6">
        <f t="shared" si="22"/>
        <v>-23.571313481716697</v>
      </c>
      <c r="D754" s="6">
        <f t="shared" si="23"/>
        <v>-13.65258879284953</v>
      </c>
      <c r="E754" s="18"/>
      <c r="F754" s="18"/>
    </row>
    <row r="755" spans="2:6" x14ac:dyDescent="0.55000000000000004">
      <c r="B755" s="1">
        <v>743</v>
      </c>
      <c r="C755" s="6">
        <f t="shared" si="22"/>
        <v>8.1635434280571193</v>
      </c>
      <c r="D755" s="6">
        <f t="shared" si="23"/>
        <v>26.00685599410712</v>
      </c>
      <c r="E755" s="18"/>
      <c r="F755" s="18"/>
    </row>
    <row r="756" spans="2:6" x14ac:dyDescent="0.55000000000000004">
      <c r="B756" s="1">
        <v>744</v>
      </c>
      <c r="C756" s="6">
        <f t="shared" si="22"/>
        <v>11.556092897514814</v>
      </c>
      <c r="D756" s="6">
        <f t="shared" si="23"/>
        <v>-24.707422304724702</v>
      </c>
      <c r="E756" s="18"/>
      <c r="F756" s="18"/>
    </row>
    <row r="757" spans="2:6" x14ac:dyDescent="0.55000000000000004">
      <c r="B757" s="1">
        <v>745</v>
      </c>
      <c r="C757" s="6">
        <f t="shared" si="22"/>
        <v>-25.227870211542985</v>
      </c>
      <c r="D757" s="6">
        <f t="shared" si="23"/>
        <v>10.418952182899295</v>
      </c>
      <c r="E757" s="18"/>
      <c r="F757" s="18"/>
    </row>
    <row r="758" spans="2:6" x14ac:dyDescent="0.55000000000000004">
      <c r="B758" s="1">
        <v>746</v>
      </c>
      <c r="C758" s="6">
        <f t="shared" si="22"/>
        <v>25.657164661912258</v>
      </c>
      <c r="D758" s="6">
        <f t="shared" si="23"/>
        <v>9.3653564540556005</v>
      </c>
      <c r="E758" s="18"/>
      <c r="F758" s="18"/>
    </row>
    <row r="759" spans="2:6" x14ac:dyDescent="0.55000000000000004">
      <c r="B759" s="1">
        <v>747</v>
      </c>
      <c r="C759" s="6">
        <f t="shared" si="22"/>
        <v>-12.600545087625338</v>
      </c>
      <c r="D759" s="6">
        <f t="shared" si="23"/>
        <v>-24.253376331857819</v>
      </c>
      <c r="E759" s="18"/>
      <c r="F759" s="18"/>
    </row>
    <row r="760" spans="2:6" x14ac:dyDescent="0.55000000000000004">
      <c r="B760" s="1">
        <v>748</v>
      </c>
      <c r="C760" s="6">
        <f t="shared" si="22"/>
        <v>-7.0969378880508884</v>
      </c>
      <c r="D760" s="6">
        <f t="shared" si="23"/>
        <v>26.412752083286357</v>
      </c>
      <c r="E760" s="18"/>
      <c r="F760" s="18"/>
    </row>
    <row r="761" spans="2:6" x14ac:dyDescent="0.55000000000000004">
      <c r="B761" s="1">
        <v>749</v>
      </c>
      <c r="C761" s="6">
        <f t="shared" si="22"/>
        <v>23.090328320444986</v>
      </c>
      <c r="D761" s="6">
        <f t="shared" si="23"/>
        <v>-14.691383122567336</v>
      </c>
      <c r="E761" s="18"/>
      <c r="F761" s="18"/>
    </row>
    <row r="762" spans="2:6" x14ac:dyDescent="0.55000000000000004">
      <c r="B762" s="1">
        <v>750</v>
      </c>
      <c r="C762" s="6">
        <f t="shared" si="22"/>
        <v>-26.967866574241608</v>
      </c>
      <c r="D762" s="6">
        <f t="shared" si="23"/>
        <v>-4.7680365386500787</v>
      </c>
      <c r="E762" s="18"/>
      <c r="F762" s="18"/>
    </row>
    <row r="763" spans="2:6" x14ac:dyDescent="0.55000000000000004">
      <c r="B763" s="1">
        <v>751</v>
      </c>
      <c r="C763" s="6">
        <f t="shared" si="22"/>
        <v>16.675179140790174</v>
      </c>
      <c r="D763" s="6">
        <f t="shared" si="23"/>
        <v>21.747146953624888</v>
      </c>
      <c r="E763" s="18"/>
      <c r="F763" s="18"/>
    </row>
    <row r="764" spans="2:6" x14ac:dyDescent="0.55000000000000004">
      <c r="B764" s="1">
        <v>752</v>
      </c>
      <c r="C764" s="6">
        <f t="shared" si="22"/>
        <v>2.3963621347272754</v>
      </c>
      <c r="D764" s="6">
        <f t="shared" si="23"/>
        <v>-27.31771309094605</v>
      </c>
      <c r="E764" s="18"/>
      <c r="F764" s="18"/>
    </row>
    <row r="765" spans="2:6" x14ac:dyDescent="0.55000000000000004">
      <c r="B765" s="1">
        <v>753</v>
      </c>
      <c r="C765" s="6">
        <f t="shared" si="22"/>
        <v>-20.233658970976645</v>
      </c>
      <c r="D765" s="6">
        <f t="shared" si="23"/>
        <v>18.536424807557051</v>
      </c>
      <c r="E765" s="18"/>
      <c r="F765" s="18"/>
    </row>
    <row r="766" spans="2:6" x14ac:dyDescent="0.55000000000000004">
      <c r="B766" s="1">
        <v>754</v>
      </c>
      <c r="C766" s="6">
        <f t="shared" si="22"/>
        <v>27.459060435491963</v>
      </c>
      <c r="D766" s="6">
        <f t="shared" si="23"/>
        <v>-2.6158167242830138E-11</v>
      </c>
      <c r="E766" s="18"/>
      <c r="F766" s="18"/>
    </row>
    <row r="767" spans="2:6" x14ac:dyDescent="0.55000000000000004">
      <c r="B767" s="1">
        <v>755</v>
      </c>
      <c r="C767" s="6">
        <f t="shared" si="22"/>
        <v>-20.260511881263451</v>
      </c>
      <c r="D767" s="6">
        <f t="shared" si="23"/>
        <v>-18.561025249408573</v>
      </c>
      <c r="E767" s="18"/>
      <c r="F767" s="18"/>
    </row>
    <row r="768" spans="2:6" x14ac:dyDescent="0.55000000000000004">
      <c r="B768" s="1">
        <v>756</v>
      </c>
      <c r="C768" s="6">
        <f t="shared" si="22"/>
        <v>2.4027269856447155</v>
      </c>
      <c r="D768" s="6">
        <f t="shared" si="23"/>
        <v>27.390270225619439</v>
      </c>
      <c r="E768" s="18"/>
      <c r="F768" s="18"/>
    </row>
    <row r="769" spans="2:6" x14ac:dyDescent="0.55000000000000004">
      <c r="B769" s="1">
        <v>757</v>
      </c>
      <c r="C769" s="6">
        <f t="shared" si="22"/>
        <v>16.741658523865922</v>
      </c>
      <c r="D769" s="6">
        <f t="shared" si="23"/>
        <v>-21.833846886663547</v>
      </c>
      <c r="E769" s="18"/>
      <c r="F769" s="18"/>
    </row>
    <row r="770" spans="2:6" x14ac:dyDescent="0.55000000000000004">
      <c r="B770" s="1">
        <v>758</v>
      </c>
      <c r="C770" s="6">
        <f t="shared" si="22"/>
        <v>-27.111313684994858</v>
      </c>
      <c r="D770" s="6">
        <f t="shared" si="23"/>
        <v>4.7933986141161444</v>
      </c>
      <c r="E770" s="18"/>
      <c r="F770" s="18"/>
    </row>
    <row r="771" spans="2:6" x14ac:dyDescent="0.55000000000000004">
      <c r="B771" s="1">
        <v>759</v>
      </c>
      <c r="C771" s="6">
        <f t="shared" si="22"/>
        <v>23.243958280651626</v>
      </c>
      <c r="D771" s="6">
        <f t="shared" si="23"/>
        <v>14.789131260737616</v>
      </c>
      <c r="E771" s="18"/>
      <c r="F771" s="18"/>
    </row>
    <row r="772" spans="2:6" x14ac:dyDescent="0.55000000000000004">
      <c r="B772" s="1">
        <v>760</v>
      </c>
      <c r="C772" s="6">
        <f t="shared" si="22"/>
        <v>-7.1536386925477817</v>
      </c>
      <c r="D772" s="6">
        <f t="shared" si="23"/>
        <v>-26.623776093118032</v>
      </c>
      <c r="E772" s="18"/>
      <c r="F772" s="18"/>
    </row>
    <row r="773" spans="2:6" x14ac:dyDescent="0.55000000000000004">
      <c r="B773" s="1">
        <v>761</v>
      </c>
      <c r="C773" s="6">
        <f t="shared" si="22"/>
        <v>-12.718074368201339</v>
      </c>
      <c r="D773" s="6">
        <f t="shared" si="23"/>
        <v>24.479595265545143</v>
      </c>
      <c r="E773" s="18"/>
      <c r="F773" s="18"/>
    </row>
    <row r="774" spans="2:6" x14ac:dyDescent="0.55000000000000004">
      <c r="B774" s="1">
        <v>762</v>
      </c>
      <c r="C774" s="6">
        <f t="shared" si="22"/>
        <v>25.930848828663692</v>
      </c>
      <c r="D774" s="6">
        <f t="shared" si="23"/>
        <v>-9.4652564162304014</v>
      </c>
      <c r="E774" s="18"/>
      <c r="F774" s="18"/>
    </row>
    <row r="775" spans="2:6" x14ac:dyDescent="0.55000000000000004">
      <c r="B775" s="1">
        <v>763</v>
      </c>
      <c r="C775" s="6">
        <f t="shared" si="22"/>
        <v>-25.530817467564482</v>
      </c>
      <c r="D775" s="6">
        <f t="shared" si="23"/>
        <v>-10.544067499684566</v>
      </c>
      <c r="E775" s="18"/>
      <c r="F775" s="18"/>
    </row>
    <row r="776" spans="2:6" x14ac:dyDescent="0.55000000000000004">
      <c r="B776" s="1">
        <v>764</v>
      </c>
      <c r="C776" s="6">
        <f t="shared" si="22"/>
        <v>11.710386682665073</v>
      </c>
      <c r="D776" s="6">
        <f t="shared" si="23"/>
        <v>25.037309035566512</v>
      </c>
      <c r="E776" s="18"/>
      <c r="F776" s="18"/>
    </row>
    <row r="777" spans="2:6" x14ac:dyDescent="0.55000000000000004">
      <c r="B777" s="1">
        <v>765</v>
      </c>
      <c r="C777" s="6">
        <f t="shared" si="22"/>
        <v>8.2835217732568136</v>
      </c>
      <c r="D777" s="6">
        <f t="shared" si="23"/>
        <v>-26.389074766501007</v>
      </c>
      <c r="E777" s="18"/>
      <c r="F777" s="18"/>
    </row>
    <row r="778" spans="2:6" x14ac:dyDescent="0.55000000000000004">
      <c r="B778" s="1">
        <v>766</v>
      </c>
      <c r="C778" s="6">
        <f t="shared" si="22"/>
        <v>-23.94948703644414</v>
      </c>
      <c r="D778" s="6">
        <f t="shared" si="23"/>
        <v>13.871628263877101</v>
      </c>
      <c r="E778" s="18"/>
      <c r="F778" s="18"/>
    </row>
    <row r="779" spans="2:6" x14ac:dyDescent="0.55000000000000004">
      <c r="B779" s="1">
        <v>767</v>
      </c>
      <c r="C779" s="6">
        <f t="shared" si="22"/>
        <v>27.047276636365279</v>
      </c>
      <c r="D779" s="6">
        <f t="shared" si="23"/>
        <v>5.9535557909478696</v>
      </c>
      <c r="E779" s="18"/>
      <c r="F779" s="18"/>
    </row>
    <row r="780" spans="2:6" x14ac:dyDescent="0.55000000000000004">
      <c r="B780" s="1">
        <v>768</v>
      </c>
      <c r="C780" s="6">
        <f t="shared" si="22"/>
        <v>-15.932178767080373</v>
      </c>
      <c r="D780" s="6">
        <f t="shared" si="23"/>
        <v>-22.67522171300191</v>
      </c>
      <c r="E780" s="18"/>
      <c r="F780" s="18"/>
    </row>
    <row r="781" spans="2:6" x14ac:dyDescent="0.55000000000000004">
      <c r="B781" s="1">
        <v>769</v>
      </c>
      <c r="C781" s="6">
        <f t="shared" ref="C781:C844" si="24">B781^$C$9*COS(2*PI()*B781/$C$8)</f>
        <v>-3.5718658948311868</v>
      </c>
      <c r="D781" s="6">
        <f t="shared" ref="D781:D844" si="25">B781^$C$9*SIN(2*PI()*B781/$C$8)</f>
        <v>27.499850436490409</v>
      </c>
      <c r="E781" s="18"/>
      <c r="F781" s="18"/>
    </row>
    <row r="782" spans="2:6" x14ac:dyDescent="0.55000000000000004">
      <c r="B782" s="1">
        <v>770</v>
      </c>
      <c r="C782" s="6">
        <f t="shared" si="24"/>
        <v>21.223804165908152</v>
      </c>
      <c r="D782" s="6">
        <f t="shared" si="25"/>
        <v>-17.875965336931589</v>
      </c>
      <c r="E782" s="18"/>
      <c r="F782" s="18"/>
    </row>
    <row r="783" spans="2:6" x14ac:dyDescent="0.55000000000000004">
      <c r="B783" s="1">
        <v>771</v>
      </c>
      <c r="C783" s="6">
        <f t="shared" si="24"/>
        <v>-27.74278817580511</v>
      </c>
      <c r="D783" s="6">
        <f t="shared" si="25"/>
        <v>-1.1565916446214706</v>
      </c>
      <c r="E783" s="18"/>
      <c r="F783" s="18"/>
    </row>
    <row r="784" spans="2:6" x14ac:dyDescent="0.55000000000000004">
      <c r="B784" s="1">
        <v>772</v>
      </c>
      <c r="C784" s="6">
        <f t="shared" si="24"/>
        <v>19.687770081724373</v>
      </c>
      <c r="D784" s="6">
        <f t="shared" si="25"/>
        <v>19.605910058172729</v>
      </c>
      <c r="E784" s="18"/>
      <c r="F784" s="18"/>
    </row>
    <row r="785" spans="2:6" x14ac:dyDescent="0.55000000000000004">
      <c r="B785" s="1">
        <v>773</v>
      </c>
      <c r="C785" s="6">
        <f t="shared" si="24"/>
        <v>-1.273822460152634</v>
      </c>
      <c r="D785" s="6">
        <f t="shared" si="25"/>
        <v>-27.773681360957731</v>
      </c>
      <c r="E785" s="18"/>
      <c r="F785" s="18"/>
    </row>
    <row r="786" spans="2:6" x14ac:dyDescent="0.55000000000000004">
      <c r="B786" s="1">
        <v>774</v>
      </c>
      <c r="C786" s="6">
        <f t="shared" si="24"/>
        <v>-17.833521134019048</v>
      </c>
      <c r="D786" s="6">
        <f t="shared" si="25"/>
        <v>21.353349244614908</v>
      </c>
      <c r="E786" s="18"/>
      <c r="F786" s="18"/>
    </row>
    <row r="787" spans="2:6" x14ac:dyDescent="0.55000000000000004">
      <c r="B787" s="1">
        <v>775</v>
      </c>
      <c r="C787" s="6">
        <f t="shared" si="24"/>
        <v>27.591743629595292</v>
      </c>
      <c r="D787" s="6">
        <f t="shared" si="25"/>
        <v>-3.7007679579632642</v>
      </c>
      <c r="E787" s="18"/>
      <c r="F787" s="18"/>
    </row>
    <row r="788" spans="2:6" x14ac:dyDescent="0.55000000000000004">
      <c r="B788" s="1">
        <v>776</v>
      </c>
      <c r="C788" s="6">
        <f t="shared" si="24"/>
        <v>-22.859545186567164</v>
      </c>
      <c r="D788" s="6">
        <f t="shared" si="25"/>
        <v>-15.919836489841654</v>
      </c>
      <c r="E788" s="18"/>
      <c r="F788" s="18"/>
    </row>
    <row r="789" spans="2:6" x14ac:dyDescent="0.55000000000000004">
      <c r="B789" s="1">
        <v>777</v>
      </c>
      <c r="C789" s="6">
        <f t="shared" si="24"/>
        <v>6.1056150249934396</v>
      </c>
      <c r="D789" s="6">
        <f t="shared" si="25"/>
        <v>27.197820963573061</v>
      </c>
      <c r="E789" s="18"/>
      <c r="F789" s="18"/>
    </row>
    <row r="790" spans="2:6" x14ac:dyDescent="0.55000000000000004">
      <c r="B790" s="1">
        <v>778</v>
      </c>
      <c r="C790" s="6">
        <f t="shared" si="24"/>
        <v>13.879174254590962</v>
      </c>
      <c r="D790" s="6">
        <f t="shared" si="25"/>
        <v>-24.194390300453932</v>
      </c>
      <c r="E790" s="18"/>
      <c r="F790" s="18"/>
    </row>
    <row r="791" spans="2:6" x14ac:dyDescent="0.55000000000000004">
      <c r="B791" s="1">
        <v>779</v>
      </c>
      <c r="C791" s="6">
        <f t="shared" si="24"/>
        <v>-26.594389372018227</v>
      </c>
      <c r="D791" s="6">
        <f t="shared" si="25"/>
        <v>8.4698556026347926</v>
      </c>
      <c r="E791" s="18"/>
      <c r="F791" s="18"/>
    </row>
    <row r="792" spans="2:6" x14ac:dyDescent="0.55000000000000004">
      <c r="B792" s="1">
        <v>780</v>
      </c>
      <c r="C792" s="6">
        <f t="shared" si="24"/>
        <v>25.347202036232186</v>
      </c>
      <c r="D792" s="6">
        <f t="shared" si="25"/>
        <v>11.726864411871862</v>
      </c>
      <c r="E792" s="18"/>
      <c r="F792" s="18"/>
    </row>
    <row r="793" spans="2:6" x14ac:dyDescent="0.55000000000000004">
      <c r="B793" s="1">
        <v>781</v>
      </c>
      <c r="C793" s="6">
        <f t="shared" si="24"/>
        <v>-10.775245952733458</v>
      </c>
      <c r="D793" s="6">
        <f t="shared" si="25"/>
        <v>-25.785540030375575</v>
      </c>
      <c r="E793" s="18"/>
      <c r="F793" s="18"/>
    </row>
    <row r="794" spans="2:6" x14ac:dyDescent="0.55000000000000004">
      <c r="B794" s="1">
        <v>782</v>
      </c>
      <c r="C794" s="6">
        <f t="shared" si="24"/>
        <v>-9.4791335669595576</v>
      </c>
      <c r="D794" s="6">
        <f t="shared" si="25"/>
        <v>26.308668282901372</v>
      </c>
      <c r="E794" s="18"/>
      <c r="F794" s="18"/>
    </row>
    <row r="795" spans="2:6" x14ac:dyDescent="0.55000000000000004">
      <c r="B795" s="1">
        <v>783</v>
      </c>
      <c r="C795" s="6">
        <f t="shared" si="24"/>
        <v>24.776951958312154</v>
      </c>
      <c r="D795" s="6">
        <f t="shared" si="25"/>
        <v>-13.00394754124652</v>
      </c>
      <c r="E795" s="18"/>
      <c r="F795" s="18"/>
    </row>
    <row r="796" spans="2:6" x14ac:dyDescent="0.55000000000000004">
      <c r="B796" s="1">
        <v>784</v>
      </c>
      <c r="C796" s="6">
        <f t="shared" si="24"/>
        <v>-27.070922426057088</v>
      </c>
      <c r="D796" s="6">
        <f t="shared" si="25"/>
        <v>-7.1529825249611356</v>
      </c>
      <c r="E796" s="18"/>
      <c r="F796" s="18"/>
    </row>
    <row r="797" spans="2:6" x14ac:dyDescent="0.55000000000000004">
      <c r="B797" s="1">
        <v>785</v>
      </c>
      <c r="C797" s="6">
        <f t="shared" si="24"/>
        <v>15.138665161983271</v>
      </c>
      <c r="D797" s="6">
        <f t="shared" si="25"/>
        <v>23.575852415413404</v>
      </c>
      <c r="E797" s="18"/>
      <c r="F797" s="18"/>
    </row>
    <row r="798" spans="2:6" x14ac:dyDescent="0.55000000000000004">
      <c r="B798" s="1">
        <v>786</v>
      </c>
      <c r="C798" s="6">
        <f t="shared" si="24"/>
        <v>4.7660576049614338</v>
      </c>
      <c r="D798" s="6">
        <f t="shared" si="25"/>
        <v>-27.627607477054347</v>
      </c>
      <c r="E798" s="18"/>
      <c r="F798" s="18"/>
    </row>
    <row r="799" spans="2:6" x14ac:dyDescent="0.55000000000000004">
      <c r="B799" s="1">
        <v>787</v>
      </c>
      <c r="C799" s="6">
        <f t="shared" si="24"/>
        <v>-22.190965288695754</v>
      </c>
      <c r="D799" s="6">
        <f t="shared" si="25"/>
        <v>17.162781230205677</v>
      </c>
      <c r="E799" s="18"/>
      <c r="F799" s="18"/>
    </row>
    <row r="800" spans="2:6" x14ac:dyDescent="0.55000000000000004">
      <c r="B800" s="1">
        <v>788</v>
      </c>
      <c r="C800" s="6">
        <f t="shared" si="24"/>
        <v>27.973928752967328</v>
      </c>
      <c r="D800" s="6">
        <f t="shared" si="25"/>
        <v>2.336516664590186</v>
      </c>
      <c r="E800" s="18"/>
      <c r="F800" s="18"/>
    </row>
    <row r="801" spans="2:6" x14ac:dyDescent="0.55000000000000004">
      <c r="B801" s="1">
        <v>789</v>
      </c>
      <c r="C801" s="6">
        <f t="shared" si="24"/>
        <v>-19.060485202577201</v>
      </c>
      <c r="D801" s="6">
        <f t="shared" si="25"/>
        <v>-20.632447839321816</v>
      </c>
      <c r="E801" s="18"/>
      <c r="F801" s="18"/>
    </row>
    <row r="802" spans="2:6" x14ac:dyDescent="0.55000000000000004">
      <c r="B802" s="1">
        <v>790</v>
      </c>
      <c r="C802" s="6">
        <f t="shared" si="24"/>
        <v>0.11710914654509245</v>
      </c>
      <c r="D802" s="6">
        <f t="shared" si="25"/>
        <v>28.1066946731165</v>
      </c>
      <c r="E802" s="18"/>
      <c r="F802" s="18"/>
    </row>
    <row r="803" spans="2:6" x14ac:dyDescent="0.55000000000000004">
      <c r="B803" s="1">
        <v>791</v>
      </c>
      <c r="C803" s="6">
        <f t="shared" si="24"/>
        <v>18.911816266092909</v>
      </c>
      <c r="D803" s="6">
        <f t="shared" si="25"/>
        <v>-20.816897115505558</v>
      </c>
      <c r="E803" s="18"/>
      <c r="F803" s="18"/>
    </row>
    <row r="804" spans="2:6" x14ac:dyDescent="0.55000000000000004">
      <c r="B804" s="1">
        <v>792</v>
      </c>
      <c r="C804" s="6">
        <f t="shared" si="24"/>
        <v>-28.024345328615603</v>
      </c>
      <c r="D804" s="6">
        <f t="shared" si="25"/>
        <v>2.5760568515661575</v>
      </c>
      <c r="E804" s="18"/>
      <c r="F804" s="18"/>
    </row>
    <row r="805" spans="2:6" x14ac:dyDescent="0.55000000000000004">
      <c r="B805" s="1">
        <v>793</v>
      </c>
      <c r="C805" s="6">
        <f t="shared" si="24"/>
        <v>22.418184275885764</v>
      </c>
      <c r="D805" s="6">
        <f t="shared" si="25"/>
        <v>17.041860631176053</v>
      </c>
      <c r="E805" s="18"/>
      <c r="F805" s="18"/>
    </row>
    <row r="806" spans="2:6" x14ac:dyDescent="0.55000000000000004">
      <c r="B806" s="1">
        <v>794</v>
      </c>
      <c r="C806" s="6">
        <f t="shared" si="24"/>
        <v>-5.0214752478274312</v>
      </c>
      <c r="D806" s="6">
        <f t="shared" si="25"/>
        <v>-27.726968574574762</v>
      </c>
      <c r="E806" s="18"/>
      <c r="F806" s="18"/>
    </row>
    <row r="807" spans="2:6" x14ac:dyDescent="0.55000000000000004">
      <c r="B807" s="1">
        <v>795</v>
      </c>
      <c r="C807" s="6">
        <f t="shared" si="24"/>
        <v>-15.036549776020445</v>
      </c>
      <c r="D807" s="6">
        <f t="shared" si="25"/>
        <v>23.851670189595936</v>
      </c>
      <c r="E807" s="18"/>
      <c r="F807" s="18"/>
    </row>
    <row r="808" spans="2:6" x14ac:dyDescent="0.55000000000000004">
      <c r="B808" s="1">
        <v>796</v>
      </c>
      <c r="C808" s="6">
        <f t="shared" si="24"/>
        <v>27.216303490207171</v>
      </c>
      <c r="D808" s="6">
        <f t="shared" si="25"/>
        <v>-7.4345695456385981</v>
      </c>
      <c r="E808" s="18"/>
      <c r="F808" s="18"/>
    </row>
    <row r="809" spans="2:6" x14ac:dyDescent="0.55000000000000004">
      <c r="B809" s="1">
        <v>797</v>
      </c>
      <c r="C809" s="6">
        <f t="shared" si="24"/>
        <v>-25.105934869701798</v>
      </c>
      <c r="D809" s="6">
        <f t="shared" si="25"/>
        <v>-12.910926934898653</v>
      </c>
      <c r="E809" s="18"/>
      <c r="F809" s="18"/>
    </row>
    <row r="810" spans="2:6" x14ac:dyDescent="0.55000000000000004">
      <c r="B810" s="1">
        <v>798</v>
      </c>
      <c r="C810" s="6">
        <f t="shared" si="24"/>
        <v>9.7967459334954619</v>
      </c>
      <c r="D810" s="6">
        <f t="shared" si="25"/>
        <v>26.495731148895292</v>
      </c>
      <c r="E810" s="18"/>
      <c r="F810" s="18"/>
    </row>
    <row r="811" spans="2:6" x14ac:dyDescent="0.55000000000000004">
      <c r="B811" s="1">
        <v>799</v>
      </c>
      <c r="C811" s="6">
        <f t="shared" si="24"/>
        <v>10.680996826121797</v>
      </c>
      <c r="D811" s="6">
        <f t="shared" si="25"/>
        <v>-26.170905731372311</v>
      </c>
      <c r="E811" s="18"/>
      <c r="F811" s="18"/>
    </row>
    <row r="812" spans="2:6" x14ac:dyDescent="0.55000000000000004">
      <c r="B812" s="1">
        <v>800</v>
      </c>
      <c r="C812" s="6">
        <f t="shared" si="24"/>
        <v>-25.570252738000676</v>
      </c>
      <c r="D812" s="6">
        <f t="shared" si="25"/>
        <v>12.089754956770999</v>
      </c>
      <c r="E812" s="18"/>
      <c r="F812" s="18"/>
    </row>
    <row r="813" spans="2:6" x14ac:dyDescent="0.55000000000000004">
      <c r="B813" s="1">
        <v>801</v>
      </c>
      <c r="C813" s="6">
        <f t="shared" si="24"/>
        <v>27.037938350506362</v>
      </c>
      <c r="D813" s="6">
        <f t="shared" si="25"/>
        <v>8.3636050692400108</v>
      </c>
      <c r="E813" s="18"/>
      <c r="F813" s="18"/>
    </row>
    <row r="814" spans="2:6" x14ac:dyDescent="0.55000000000000004">
      <c r="B814" s="1">
        <v>802</v>
      </c>
      <c r="C814" s="6">
        <f t="shared" si="24"/>
        <v>-14.295832603929446</v>
      </c>
      <c r="D814" s="6">
        <f t="shared" si="25"/>
        <v>-24.446455165533262</v>
      </c>
      <c r="E814" s="18"/>
      <c r="F814" s="18"/>
    </row>
    <row r="815" spans="2:6" x14ac:dyDescent="0.55000000000000004">
      <c r="B815" s="1">
        <v>803</v>
      </c>
      <c r="C815" s="6">
        <f t="shared" si="24"/>
        <v>-5.9763108369439042</v>
      </c>
      <c r="D815" s="6">
        <f t="shared" si="25"/>
        <v>27.699886439843517</v>
      </c>
      <c r="E815" s="18"/>
      <c r="F815" s="18"/>
    </row>
    <row r="816" spans="2:6" x14ac:dyDescent="0.55000000000000004">
      <c r="B816" s="1">
        <v>804</v>
      </c>
      <c r="C816" s="6">
        <f t="shared" si="24"/>
        <v>23.13246438782922</v>
      </c>
      <c r="D816" s="6">
        <f t="shared" si="25"/>
        <v>-16.397838008280633</v>
      </c>
      <c r="E816" s="18"/>
      <c r="F816" s="18"/>
    </row>
    <row r="817" spans="2:6" x14ac:dyDescent="0.55000000000000004">
      <c r="B817" s="1">
        <v>805</v>
      </c>
      <c r="C817" s="6">
        <f t="shared" si="24"/>
        <v>-28.151160477365263</v>
      </c>
      <c r="D817" s="6">
        <f t="shared" si="25"/>
        <v>-3.5372537055783906</v>
      </c>
      <c r="E817" s="18"/>
      <c r="F817" s="18"/>
    </row>
    <row r="818" spans="2:6" x14ac:dyDescent="0.55000000000000004">
      <c r="B818" s="1">
        <v>806</v>
      </c>
      <c r="C818" s="6">
        <f t="shared" si="24"/>
        <v>18.37938669788101</v>
      </c>
      <c r="D818" s="6">
        <f t="shared" si="25"/>
        <v>21.637886787062978</v>
      </c>
      <c r="E818" s="18"/>
      <c r="F818" s="18"/>
    </row>
    <row r="819" spans="2:6" x14ac:dyDescent="0.55000000000000004">
      <c r="B819" s="1">
        <v>807</v>
      </c>
      <c r="C819" s="6">
        <f t="shared" si="24"/>
        <v>1.0650157143845971</v>
      </c>
      <c r="D819" s="6">
        <f t="shared" si="25"/>
        <v>-28.387774508194788</v>
      </c>
      <c r="E819" s="18"/>
      <c r="F819" s="18"/>
    </row>
    <row r="820" spans="2:6" x14ac:dyDescent="0.55000000000000004">
      <c r="B820" s="1">
        <v>808</v>
      </c>
      <c r="C820" s="6">
        <f t="shared" si="24"/>
        <v>-19.97373902076912</v>
      </c>
      <c r="D820" s="6">
        <f t="shared" si="25"/>
        <v>20.224978356730198</v>
      </c>
      <c r="E820" s="18"/>
      <c r="F820" s="18"/>
    </row>
    <row r="821" spans="2:6" x14ac:dyDescent="0.55000000000000004">
      <c r="B821" s="1">
        <v>809</v>
      </c>
      <c r="C821" s="6">
        <f t="shared" si="24"/>
        <v>28.407380730881989</v>
      </c>
      <c r="D821" s="6">
        <f t="shared" si="25"/>
        <v>-1.4215203166732429</v>
      </c>
      <c r="E821" s="18"/>
      <c r="F821" s="18"/>
    </row>
    <row r="822" spans="2:6" x14ac:dyDescent="0.55000000000000004">
      <c r="B822" s="1">
        <v>810</v>
      </c>
      <c r="C822" s="6">
        <f t="shared" si="24"/>
        <v>-21.920118101128555</v>
      </c>
      <c r="D822" s="6">
        <f t="shared" si="25"/>
        <v>-18.15236685483676</v>
      </c>
      <c r="E822" s="18"/>
      <c r="F822" s="18"/>
    </row>
    <row r="823" spans="2:6" x14ac:dyDescent="0.55000000000000004">
      <c r="B823" s="1">
        <v>811</v>
      </c>
      <c r="C823" s="6">
        <f t="shared" si="24"/>
        <v>3.9033151290866015</v>
      </c>
      <c r="D823" s="6">
        <f t="shared" si="25"/>
        <v>28.209291572158342</v>
      </c>
      <c r="E823" s="18"/>
      <c r="F823" s="18"/>
    </row>
    <row r="824" spans="2:6" x14ac:dyDescent="0.55000000000000004">
      <c r="B824" s="1">
        <v>812</v>
      </c>
      <c r="C824" s="6">
        <f t="shared" si="24"/>
        <v>16.187353578026823</v>
      </c>
      <c r="D824" s="6">
        <f t="shared" si="25"/>
        <v>-23.451430321836281</v>
      </c>
      <c r="E824" s="18"/>
      <c r="F824" s="18"/>
    </row>
    <row r="825" spans="2:6" x14ac:dyDescent="0.55000000000000004">
      <c r="B825" s="1">
        <v>813</v>
      </c>
      <c r="C825" s="6">
        <f t="shared" si="24"/>
        <v>-27.794489049914169</v>
      </c>
      <c r="D825" s="6">
        <f t="shared" si="25"/>
        <v>6.3613189241069632</v>
      </c>
      <c r="E825" s="18"/>
      <c r="F825" s="18"/>
    </row>
    <row r="826" spans="2:6" x14ac:dyDescent="0.55000000000000004">
      <c r="B826" s="1">
        <v>814</v>
      </c>
      <c r="C826" s="6">
        <f t="shared" si="24"/>
        <v>24.806764198319062</v>
      </c>
      <c r="D826" s="6">
        <f t="shared" si="25"/>
        <v>14.093418677134215</v>
      </c>
      <c r="E826" s="18"/>
      <c r="F826" s="18"/>
    </row>
    <row r="827" spans="2:6" x14ac:dyDescent="0.55000000000000004">
      <c r="B827" s="1">
        <v>815</v>
      </c>
      <c r="C827" s="6">
        <f t="shared" si="24"/>
        <v>-8.7766176979502344</v>
      </c>
      <c r="D827" s="6">
        <f t="shared" si="25"/>
        <v>-27.165621321516404</v>
      </c>
      <c r="E827" s="18"/>
      <c r="F827" s="18"/>
    </row>
    <row r="828" spans="2:6" x14ac:dyDescent="0.55000000000000004">
      <c r="B828" s="1">
        <v>816</v>
      </c>
      <c r="C828" s="6">
        <f t="shared" si="24"/>
        <v>-11.886307529259438</v>
      </c>
      <c r="D828" s="6">
        <f t="shared" si="25"/>
        <v>25.97529005266102</v>
      </c>
      <c r="E828" s="18"/>
      <c r="F828" s="18"/>
    </row>
    <row r="829" spans="2:6" x14ac:dyDescent="0.55000000000000004">
      <c r="B829" s="1">
        <v>817</v>
      </c>
      <c r="C829" s="6">
        <f t="shared" si="24"/>
        <v>26.326986413028216</v>
      </c>
      <c r="D829" s="6">
        <f t="shared" si="25"/>
        <v>-11.130578889178574</v>
      </c>
      <c r="E829" s="18"/>
      <c r="F829" s="18"/>
    </row>
    <row r="830" spans="2:6" x14ac:dyDescent="0.55000000000000004">
      <c r="B830" s="1">
        <v>818</v>
      </c>
      <c r="C830" s="6">
        <f t="shared" si="24"/>
        <v>-26.947585779878356</v>
      </c>
      <c r="D830" s="6">
        <f t="shared" si="25"/>
        <v>-9.5826729379697486</v>
      </c>
      <c r="E830" s="18"/>
      <c r="F830" s="18"/>
    </row>
    <row r="831" spans="2:6" x14ac:dyDescent="0.55000000000000004">
      <c r="B831" s="1">
        <v>819</v>
      </c>
      <c r="C831" s="6">
        <f t="shared" si="24"/>
        <v>13.40499521577178</v>
      </c>
      <c r="D831" s="6">
        <f t="shared" si="25"/>
        <v>25.284503223617737</v>
      </c>
      <c r="E831" s="18"/>
      <c r="F831" s="18"/>
    </row>
    <row r="832" spans="2:6" x14ac:dyDescent="0.55000000000000004">
      <c r="B832" s="1">
        <v>820</v>
      </c>
      <c r="C832" s="6">
        <f t="shared" si="24"/>
        <v>7.1999494052170281</v>
      </c>
      <c r="D832" s="6">
        <f t="shared" si="25"/>
        <v>-27.715712665603874</v>
      </c>
      <c r="E832" s="18"/>
      <c r="F832" s="18"/>
    </row>
    <row r="833" spans="2:6" x14ac:dyDescent="0.55000000000000004">
      <c r="B833" s="1">
        <v>821</v>
      </c>
      <c r="C833" s="6">
        <f t="shared" si="24"/>
        <v>-24.045669997543527</v>
      </c>
      <c r="D833" s="6">
        <f t="shared" si="25"/>
        <v>15.582225591013467</v>
      </c>
      <c r="E833" s="18"/>
      <c r="F833" s="18"/>
    </row>
    <row r="834" spans="2:6" x14ac:dyDescent="0.55000000000000004">
      <c r="B834" s="1">
        <v>822</v>
      </c>
      <c r="C834" s="6">
        <f t="shared" si="24"/>
        <v>28.273279982185869</v>
      </c>
      <c r="D834" s="6">
        <f t="shared" si="25"/>
        <v>4.7562210891555248</v>
      </c>
      <c r="E834" s="18"/>
      <c r="F834" s="18"/>
    </row>
    <row r="835" spans="2:6" x14ac:dyDescent="0.55000000000000004">
      <c r="B835" s="1">
        <v>823</v>
      </c>
      <c r="C835" s="6">
        <f t="shared" si="24"/>
        <v>-17.645332026646624</v>
      </c>
      <c r="D835" s="6">
        <f t="shared" si="25"/>
        <v>-22.619510553267922</v>
      </c>
      <c r="E835" s="18"/>
      <c r="F835" s="18"/>
    </row>
    <row r="836" spans="2:6" x14ac:dyDescent="0.55000000000000004">
      <c r="B836" s="1">
        <v>824</v>
      </c>
      <c r="C836" s="6">
        <f t="shared" si="24"/>
        <v>-2.2700844482810836</v>
      </c>
      <c r="D836" s="6">
        <f t="shared" si="25"/>
        <v>28.615497839416882</v>
      </c>
      <c r="E836" s="18"/>
      <c r="F836" s="18"/>
    </row>
    <row r="837" spans="2:6" x14ac:dyDescent="0.55000000000000004">
      <c r="B837" s="1">
        <v>825</v>
      </c>
      <c r="C837" s="6">
        <f t="shared" si="24"/>
        <v>21.016508653911711</v>
      </c>
      <c r="D837" s="6">
        <f t="shared" si="25"/>
        <v>-19.578211460704324</v>
      </c>
      <c r="E837" s="18"/>
      <c r="F837" s="18"/>
    </row>
    <row r="838" spans="2:6" x14ac:dyDescent="0.55000000000000004">
      <c r="B838" s="1">
        <v>826</v>
      </c>
      <c r="C838" s="6">
        <f t="shared" si="24"/>
        <v>-28.73921785503563</v>
      </c>
      <c r="D838" s="6">
        <f t="shared" si="25"/>
        <v>0.23949338362742917</v>
      </c>
      <c r="E838" s="18"/>
      <c r="F838" s="18"/>
    </row>
    <row r="839" spans="2:6" x14ac:dyDescent="0.55000000000000004">
      <c r="B839" s="1">
        <v>827</v>
      </c>
      <c r="C839" s="6">
        <f t="shared" si="24"/>
        <v>21.36572148340408</v>
      </c>
      <c r="D839" s="6">
        <f t="shared" si="25"/>
        <v>19.248530995730697</v>
      </c>
      <c r="E839" s="18"/>
      <c r="F839" s="18"/>
    </row>
    <row r="840" spans="2:6" x14ac:dyDescent="0.55000000000000004">
      <c r="B840" s="1">
        <v>828</v>
      </c>
      <c r="C840" s="6">
        <f t="shared" si="24"/>
        <v>-2.7533194128309391</v>
      </c>
      <c r="D840" s="6">
        <f t="shared" si="25"/>
        <v>-28.642961303100773</v>
      </c>
      <c r="E840" s="18"/>
      <c r="F840" s="18"/>
    </row>
    <row r="841" spans="2:6" x14ac:dyDescent="0.55000000000000004">
      <c r="B841" s="1">
        <v>829</v>
      </c>
      <c r="C841" s="6">
        <f t="shared" si="24"/>
        <v>-17.32873938004489</v>
      </c>
      <c r="D841" s="6">
        <f t="shared" si="25"/>
        <v>22.993798979257026</v>
      </c>
      <c r="E841" s="18"/>
      <c r="F841" s="18"/>
    </row>
    <row r="842" spans="2:6" x14ac:dyDescent="0.55000000000000004">
      <c r="B842" s="1">
        <v>830</v>
      </c>
      <c r="C842" s="6">
        <f t="shared" si="24"/>
        <v>28.326934493792461</v>
      </c>
      <c r="D842" s="6">
        <f t="shared" si="25"/>
        <v>-5.2521216840807146</v>
      </c>
      <c r="E842" s="18"/>
      <c r="F842" s="18"/>
    </row>
    <row r="843" spans="2:6" x14ac:dyDescent="0.55000000000000004">
      <c r="B843" s="1">
        <v>831</v>
      </c>
      <c r="C843" s="6">
        <f t="shared" si="24"/>
        <v>-24.449570756052058</v>
      </c>
      <c r="D843" s="6">
        <f t="shared" si="25"/>
        <v>-15.271492718290638</v>
      </c>
      <c r="E843" s="18"/>
      <c r="F843" s="18"/>
    </row>
    <row r="844" spans="2:6" x14ac:dyDescent="0.55000000000000004">
      <c r="B844" s="1">
        <v>832</v>
      </c>
      <c r="C844" s="6">
        <f t="shared" si="24"/>
        <v>7.716697137681388</v>
      </c>
      <c r="D844" s="6">
        <f t="shared" si="25"/>
        <v>27.793031236000505</v>
      </c>
      <c r="E844" s="18"/>
      <c r="F844" s="18"/>
    </row>
    <row r="845" spans="2:6" x14ac:dyDescent="0.55000000000000004">
      <c r="B845" s="1">
        <v>833</v>
      </c>
      <c r="C845" s="6">
        <f t="shared" ref="C845:C908" si="26">B845^$C$9*COS(2*PI()*B845/$C$8)</f>
        <v>13.092239600323818</v>
      </c>
      <c r="D845" s="6">
        <f t="shared" ref="D845:D908" si="27">B845^$C$9*SIN(2*PI()*B845/$C$8)</f>
        <v>-25.721455290238008</v>
      </c>
      <c r="E845" s="18"/>
      <c r="F845" s="18"/>
    </row>
    <row r="846" spans="2:6" x14ac:dyDescent="0.55000000000000004">
      <c r="B846" s="1">
        <v>834</v>
      </c>
      <c r="C846" s="6">
        <f t="shared" si="26"/>
        <v>-27.044822333112101</v>
      </c>
      <c r="D846" s="6">
        <f t="shared" si="27"/>
        <v>10.128059289439459</v>
      </c>
      <c r="E846" s="18"/>
      <c r="F846" s="18"/>
    </row>
    <row r="847" spans="2:6" x14ac:dyDescent="0.55000000000000004">
      <c r="B847" s="1">
        <v>835</v>
      </c>
      <c r="C847" s="6">
        <f t="shared" si="26"/>
        <v>26.799254785250298</v>
      </c>
      <c r="D847" s="6">
        <f t="shared" si="27"/>
        <v>10.807402229733055</v>
      </c>
      <c r="E847" s="18"/>
      <c r="F847" s="18"/>
    </row>
    <row r="848" spans="2:6" x14ac:dyDescent="0.55000000000000004">
      <c r="B848" s="1">
        <v>836</v>
      </c>
      <c r="C848" s="6">
        <f t="shared" si="26"/>
        <v>-12.46758459719045</v>
      </c>
      <c r="D848" s="6">
        <f t="shared" si="27"/>
        <v>-26.087532162163203</v>
      </c>
      <c r="E848" s="18"/>
      <c r="F848" s="18"/>
    </row>
    <row r="849" spans="2:6" x14ac:dyDescent="0.55000000000000004">
      <c r="B849" s="1">
        <v>837</v>
      </c>
      <c r="C849" s="6">
        <f t="shared" si="26"/>
        <v>-8.4342525989922486</v>
      </c>
      <c r="D849" s="6">
        <f t="shared" si="27"/>
        <v>27.67423681145322</v>
      </c>
      <c r="E849" s="18"/>
      <c r="F849" s="18"/>
    </row>
    <row r="850" spans="2:6" x14ac:dyDescent="0.55000000000000004">
      <c r="B850" s="1">
        <v>838</v>
      </c>
      <c r="C850" s="6">
        <f t="shared" si="26"/>
        <v>24.928002485934819</v>
      </c>
      <c r="D850" s="6">
        <f t="shared" si="27"/>
        <v>-14.717156385023138</v>
      </c>
      <c r="E850" s="18"/>
      <c r="F850" s="18"/>
    </row>
    <row r="851" spans="2:6" x14ac:dyDescent="0.55000000000000004">
      <c r="B851" s="1">
        <v>839</v>
      </c>
      <c r="C851" s="6">
        <f t="shared" si="26"/>
        <v>-28.339204875337696</v>
      </c>
      <c r="D851" s="6">
        <f t="shared" si="27"/>
        <v>-5.9907818382608431</v>
      </c>
      <c r="E851" s="18"/>
      <c r="F851" s="18"/>
    </row>
    <row r="852" spans="2:6" x14ac:dyDescent="0.55000000000000004">
      <c r="B852" s="1">
        <v>840</v>
      </c>
      <c r="C852" s="6">
        <f t="shared" si="26"/>
        <v>16.859305211818214</v>
      </c>
      <c r="D852" s="6">
        <f t="shared" si="27"/>
        <v>23.574643746507796</v>
      </c>
      <c r="E852" s="18"/>
      <c r="F852" s="18"/>
    </row>
    <row r="853" spans="2:6" x14ac:dyDescent="0.55000000000000004">
      <c r="B853" s="1">
        <v>841</v>
      </c>
      <c r="C853" s="6">
        <f t="shared" si="26"/>
        <v>3.495563727373276</v>
      </c>
      <c r="D853" s="6">
        <f t="shared" si="27"/>
        <v>-28.788557348847341</v>
      </c>
      <c r="E853" s="18"/>
      <c r="F853" s="18"/>
    </row>
    <row r="854" spans="2:6" x14ac:dyDescent="0.55000000000000004">
      <c r="B854" s="1">
        <v>842</v>
      </c>
      <c r="C854" s="6">
        <f t="shared" si="26"/>
        <v>-22.037374185268824</v>
      </c>
      <c r="D854" s="6">
        <f t="shared" si="27"/>
        <v>18.877344596591101</v>
      </c>
      <c r="E854" s="18"/>
      <c r="F854" s="18"/>
    </row>
    <row r="855" spans="2:6" x14ac:dyDescent="0.55000000000000004">
      <c r="B855" s="1">
        <v>843</v>
      </c>
      <c r="C855" s="6">
        <f t="shared" si="26"/>
        <v>29.018334278441458</v>
      </c>
      <c r="D855" s="6">
        <f t="shared" si="27"/>
        <v>0.967613406598684</v>
      </c>
      <c r="E855" s="18"/>
      <c r="F855" s="18"/>
    </row>
    <row r="856" spans="2:6" x14ac:dyDescent="0.55000000000000004">
      <c r="B856" s="1">
        <v>844</v>
      </c>
      <c r="C856" s="6">
        <f t="shared" si="26"/>
        <v>-20.755501045175329</v>
      </c>
      <c r="D856" s="6">
        <f t="shared" si="27"/>
        <v>-20.327547229405859</v>
      </c>
      <c r="E856" s="18"/>
      <c r="F856" s="18"/>
    </row>
    <row r="857" spans="2:6" x14ac:dyDescent="0.55000000000000004">
      <c r="B857" s="1">
        <v>845</v>
      </c>
      <c r="C857" s="6">
        <f t="shared" si="26"/>
        <v>1.5737576377574605</v>
      </c>
      <c r="D857" s="6">
        <f t="shared" si="27"/>
        <v>29.02625168528655</v>
      </c>
      <c r="E857" s="18"/>
      <c r="F857" s="18"/>
    </row>
    <row r="858" spans="2:6" x14ac:dyDescent="0.55000000000000004">
      <c r="B858" s="1">
        <v>846</v>
      </c>
      <c r="C858" s="6">
        <f t="shared" si="26"/>
        <v>18.457867675741628</v>
      </c>
      <c r="D858" s="6">
        <f t="shared" si="27"/>
        <v>-22.479037365172296</v>
      </c>
      <c r="E858" s="18"/>
      <c r="F858" s="18"/>
    </row>
    <row r="859" spans="2:6" x14ac:dyDescent="0.55000000000000004">
      <c r="B859" s="1">
        <v>847</v>
      </c>
      <c r="C859" s="6">
        <f t="shared" si="26"/>
        <v>-28.811723063611687</v>
      </c>
      <c r="D859" s="6">
        <f t="shared" si="27"/>
        <v>4.1090892063505056</v>
      </c>
      <c r="E859" s="18"/>
      <c r="F859" s="18"/>
    </row>
    <row r="860" spans="2:6" x14ac:dyDescent="0.55000000000000004">
      <c r="B860" s="1">
        <v>848</v>
      </c>
      <c r="C860" s="6">
        <f t="shared" si="26"/>
        <v>24.034368304634413</v>
      </c>
      <c r="D860" s="6">
        <f t="shared" si="27"/>
        <v>16.442297290743308</v>
      </c>
      <c r="E860" s="18"/>
      <c r="F860" s="18"/>
    </row>
    <row r="861" spans="2:6" x14ac:dyDescent="0.55000000000000004">
      <c r="B861" s="1">
        <v>849</v>
      </c>
      <c r="C861" s="6">
        <f t="shared" si="26"/>
        <v>-6.618921509135288</v>
      </c>
      <c r="D861" s="6">
        <f t="shared" si="27"/>
        <v>-28.375867881985677</v>
      </c>
      <c r="E861" s="18"/>
      <c r="F861" s="18"/>
    </row>
    <row r="862" spans="2:6" x14ac:dyDescent="0.55000000000000004">
      <c r="B862" s="1">
        <v>850</v>
      </c>
      <c r="C862" s="6">
        <f t="shared" si="26"/>
        <v>-14.295950527814801</v>
      </c>
      <c r="D862" s="6">
        <f t="shared" si="27"/>
        <v>25.409167607504813</v>
      </c>
      <c r="E862" s="18"/>
      <c r="F862" s="18"/>
    </row>
    <row r="863" spans="2:6" x14ac:dyDescent="0.55000000000000004">
      <c r="B863" s="1">
        <v>851</v>
      </c>
      <c r="C863" s="6">
        <f t="shared" si="26"/>
        <v>27.721506991950505</v>
      </c>
      <c r="D863" s="6">
        <f t="shared" si="27"/>
        <v>-9.0839446329906295</v>
      </c>
      <c r="E863" s="18"/>
      <c r="F863" s="18"/>
    </row>
    <row r="864" spans="2:6" x14ac:dyDescent="0.55000000000000004">
      <c r="B864" s="1">
        <v>852</v>
      </c>
      <c r="C864" s="6">
        <f t="shared" si="26"/>
        <v>-26.592465642059427</v>
      </c>
      <c r="D864" s="6">
        <f t="shared" si="27"/>
        <v>-12.034981141484552</v>
      </c>
      <c r="E864" s="18"/>
      <c r="F864" s="18"/>
    </row>
    <row r="865" spans="2:6" x14ac:dyDescent="0.55000000000000004">
      <c r="B865" s="1">
        <v>853</v>
      </c>
      <c r="C865" s="6">
        <f t="shared" si="26"/>
        <v>11.485147206476064</v>
      </c>
      <c r="D865" s="6">
        <f t="shared" si="27"/>
        <v>26.853144948880292</v>
      </c>
      <c r="E865" s="18"/>
      <c r="F865" s="18"/>
    </row>
    <row r="866" spans="2:6" x14ac:dyDescent="0.55000000000000004">
      <c r="B866" s="1">
        <v>854</v>
      </c>
      <c r="C866" s="6">
        <f t="shared" si="26"/>
        <v>9.676460548949871</v>
      </c>
      <c r="D866" s="6">
        <f t="shared" si="27"/>
        <v>-27.57473683001556</v>
      </c>
      <c r="E866" s="18"/>
      <c r="F866" s="18"/>
    </row>
    <row r="867" spans="2:6" x14ac:dyDescent="0.55000000000000004">
      <c r="B867" s="1">
        <v>855</v>
      </c>
      <c r="C867" s="6">
        <f t="shared" si="26"/>
        <v>-25.77693935083958</v>
      </c>
      <c r="D867" s="6">
        <f t="shared" si="27"/>
        <v>13.803963115827926</v>
      </c>
      <c r="E867" s="18"/>
      <c r="F867" s="18"/>
    </row>
    <row r="868" spans="2:6" x14ac:dyDescent="0.55000000000000004">
      <c r="B868" s="1">
        <v>856</v>
      </c>
      <c r="C868" s="6">
        <f t="shared" si="26"/>
        <v>28.347976179976364</v>
      </c>
      <c r="D868" s="6">
        <f t="shared" si="27"/>
        <v>7.2382488558692568</v>
      </c>
      <c r="E868" s="18"/>
      <c r="F868" s="18"/>
    </row>
    <row r="869" spans="2:6" x14ac:dyDescent="0.55000000000000004">
      <c r="B869" s="1">
        <v>857</v>
      </c>
      <c r="C869" s="6">
        <f t="shared" si="26"/>
        <v>-16.022415139768317</v>
      </c>
      <c r="D869" s="6">
        <f t="shared" si="27"/>
        <v>-24.500657401158101</v>
      </c>
      <c r="E869" s="18"/>
      <c r="F869" s="18"/>
    </row>
    <row r="870" spans="2:6" x14ac:dyDescent="0.55000000000000004">
      <c r="B870" s="1">
        <v>858</v>
      </c>
      <c r="C870" s="6">
        <f t="shared" si="26"/>
        <v>-4.738859521263306</v>
      </c>
      <c r="D870" s="6">
        <f t="shared" si="27"/>
        <v>28.905764311599373</v>
      </c>
      <c r="E870" s="18"/>
      <c r="F870" s="18"/>
    </row>
    <row r="871" spans="2:6" x14ac:dyDescent="0.55000000000000004">
      <c r="B871" s="1">
        <v>859</v>
      </c>
      <c r="C871" s="6">
        <f t="shared" si="26"/>
        <v>23.033619999505834</v>
      </c>
      <c r="D871" s="6">
        <f t="shared" si="27"/>
        <v>-18.123254390930036</v>
      </c>
      <c r="E871" s="18"/>
      <c r="F871" s="18"/>
    </row>
    <row r="872" spans="2:6" x14ac:dyDescent="0.55000000000000004">
      <c r="B872" s="1">
        <v>860</v>
      </c>
      <c r="C872" s="6">
        <f t="shared" si="26"/>
        <v>-29.243320443908623</v>
      </c>
      <c r="D872" s="6">
        <f t="shared" si="27"/>
        <v>-2.1973186875999402</v>
      </c>
      <c r="E872" s="18"/>
      <c r="F872" s="18"/>
    </row>
    <row r="873" spans="2:6" x14ac:dyDescent="0.55000000000000004">
      <c r="B873" s="1">
        <v>861</v>
      </c>
      <c r="C873" s="6">
        <f t="shared" si="26"/>
        <v>20.090094482221609</v>
      </c>
      <c r="D873" s="6">
        <f t="shared" si="27"/>
        <v>21.386633762595942</v>
      </c>
      <c r="E873" s="18"/>
      <c r="F873" s="18"/>
    </row>
    <row r="874" spans="2:6" x14ac:dyDescent="0.55000000000000004">
      <c r="B874" s="1">
        <v>862</v>
      </c>
      <c r="C874" s="6">
        <f t="shared" si="26"/>
        <v>-0.36697975399925148</v>
      </c>
      <c r="D874" s="6">
        <f t="shared" si="27"/>
        <v>-29.357542912514912</v>
      </c>
      <c r="E874" s="18"/>
      <c r="F874" s="18"/>
    </row>
    <row r="875" spans="2:6" x14ac:dyDescent="0.55000000000000004">
      <c r="B875" s="1">
        <v>863</v>
      </c>
      <c r="C875" s="6">
        <f t="shared" si="26"/>
        <v>-19.571911469855582</v>
      </c>
      <c r="D875" s="6">
        <f t="shared" si="27"/>
        <v>21.907539373835107</v>
      </c>
      <c r="E875" s="18"/>
      <c r="F875" s="18"/>
    </row>
    <row r="876" spans="2:6" x14ac:dyDescent="0.55000000000000004">
      <c r="B876" s="1">
        <v>864</v>
      </c>
      <c r="C876" s="6">
        <f t="shared" si="26"/>
        <v>29.247036875648522</v>
      </c>
      <c r="D876" s="6">
        <f t="shared" si="27"/>
        <v>-2.9344222590581182</v>
      </c>
      <c r="E876" s="18"/>
      <c r="F876" s="18"/>
    </row>
    <row r="877" spans="2:6" x14ac:dyDescent="0.55000000000000004">
      <c r="B877" s="1">
        <v>865</v>
      </c>
      <c r="C877" s="6">
        <f t="shared" si="26"/>
        <v>-23.561303903619109</v>
      </c>
      <c r="D877" s="6">
        <f t="shared" si="27"/>
        <v>-17.602981519086555</v>
      </c>
      <c r="E877" s="18"/>
      <c r="F877" s="18"/>
    </row>
    <row r="878" spans="2:6" x14ac:dyDescent="0.55000000000000004">
      <c r="B878" s="1">
        <v>866</v>
      </c>
      <c r="C878" s="6">
        <f t="shared" si="26"/>
        <v>5.4853257532451289</v>
      </c>
      <c r="D878" s="6">
        <f t="shared" si="27"/>
        <v>28.91212896659092</v>
      </c>
      <c r="E878" s="18"/>
      <c r="F878" s="18"/>
    </row>
    <row r="879" spans="2:6" x14ac:dyDescent="0.55000000000000004">
      <c r="B879" s="1">
        <v>867</v>
      </c>
      <c r="C879" s="6">
        <f t="shared" si="26"/>
        <v>15.494587063678614</v>
      </c>
      <c r="D879" s="6">
        <f t="shared" si="27"/>
        <v>-25.038326056789089</v>
      </c>
      <c r="E879" s="18"/>
      <c r="F879" s="18"/>
    </row>
    <row r="880" spans="2:6" x14ac:dyDescent="0.55000000000000004">
      <c r="B880" s="1">
        <v>868</v>
      </c>
      <c r="C880" s="6">
        <f t="shared" si="26"/>
        <v>-28.354868750069322</v>
      </c>
      <c r="D880" s="6">
        <f t="shared" si="27"/>
        <v>8.0000886349053619</v>
      </c>
      <c r="E880" s="18"/>
      <c r="F880" s="18"/>
    </row>
    <row r="881" spans="2:6" x14ac:dyDescent="0.55000000000000004">
      <c r="B881" s="1">
        <v>869</v>
      </c>
      <c r="C881" s="6">
        <f t="shared" si="26"/>
        <v>26.326870093089855</v>
      </c>
      <c r="D881" s="6">
        <f t="shared" si="27"/>
        <v>13.26257558325573</v>
      </c>
      <c r="E881" s="18"/>
      <c r="F881" s="18"/>
    </row>
    <row r="882" spans="2:6" x14ac:dyDescent="0.55000000000000004">
      <c r="B882" s="1">
        <v>870</v>
      </c>
      <c r="C882" s="6">
        <f t="shared" si="26"/>
        <v>-10.459341496782006</v>
      </c>
      <c r="D882" s="6">
        <f t="shared" si="27"/>
        <v>-27.579016941393938</v>
      </c>
      <c r="E882" s="18"/>
      <c r="F882" s="18"/>
    </row>
    <row r="883" spans="2:6" x14ac:dyDescent="0.55000000000000004">
      <c r="B883" s="1">
        <v>871</v>
      </c>
      <c r="C883" s="6">
        <f t="shared" si="26"/>
        <v>-10.923779715218329</v>
      </c>
      <c r="D883" s="6">
        <f t="shared" si="27"/>
        <v>27.416619717488601</v>
      </c>
      <c r="E883" s="18"/>
      <c r="F883" s="18"/>
    </row>
    <row r="884" spans="2:6" x14ac:dyDescent="0.55000000000000004">
      <c r="B884" s="1">
        <v>872</v>
      </c>
      <c r="C884" s="6">
        <f t="shared" si="26"/>
        <v>26.590020448814034</v>
      </c>
      <c r="D884" s="6">
        <f t="shared" si="27"/>
        <v>-12.84409640775292</v>
      </c>
      <c r="E884" s="18"/>
      <c r="F884" s="18"/>
    </row>
    <row r="885" spans="2:6" x14ac:dyDescent="0.55000000000000004">
      <c r="B885" s="1">
        <v>873</v>
      </c>
      <c r="C885" s="6">
        <f t="shared" si="26"/>
        <v>-28.298760555227837</v>
      </c>
      <c r="D885" s="6">
        <f t="shared" si="27"/>
        <v>-8.4958902439874535</v>
      </c>
      <c r="E885" s="18"/>
      <c r="F885" s="18"/>
    </row>
    <row r="886" spans="2:6" x14ac:dyDescent="0.55000000000000004">
      <c r="B886" s="1">
        <v>874</v>
      </c>
      <c r="C886" s="6">
        <f t="shared" si="26"/>
        <v>15.135893602940021</v>
      </c>
      <c r="D886" s="6">
        <f t="shared" si="27"/>
        <v>25.394974401256622</v>
      </c>
      <c r="E886" s="18"/>
      <c r="F886" s="18"/>
    </row>
    <row r="887" spans="2:6" x14ac:dyDescent="0.55000000000000004">
      <c r="B887" s="1">
        <v>875</v>
      </c>
      <c r="C887" s="6">
        <f t="shared" si="26"/>
        <v>5.9973222064426439</v>
      </c>
      <c r="D887" s="6">
        <f t="shared" si="27"/>
        <v>-28.966051273035301</v>
      </c>
      <c r="E887" s="18"/>
      <c r="F887" s="18"/>
    </row>
    <row r="888" spans="2:6" x14ac:dyDescent="0.55000000000000004">
      <c r="B888" s="1">
        <v>876</v>
      </c>
      <c r="C888" s="6">
        <f t="shared" si="26"/>
        <v>-24.002571423848398</v>
      </c>
      <c r="D888" s="6">
        <f t="shared" si="27"/>
        <v>17.316944448806669</v>
      </c>
      <c r="E888" s="18"/>
      <c r="F888" s="18"/>
    </row>
    <row r="889" spans="2:6" x14ac:dyDescent="0.55000000000000004">
      <c r="B889" s="1">
        <v>877</v>
      </c>
      <c r="C889" s="6">
        <f t="shared" si="26"/>
        <v>29.412882773722401</v>
      </c>
      <c r="D889" s="6">
        <f t="shared" si="27"/>
        <v>3.4470751281722887</v>
      </c>
      <c r="E889" s="18"/>
      <c r="F889" s="18"/>
    </row>
    <row r="890" spans="2:6" x14ac:dyDescent="0.55000000000000004">
      <c r="B890" s="1">
        <v>878</v>
      </c>
      <c r="C890" s="6">
        <f t="shared" si="26"/>
        <v>-19.370269575025674</v>
      </c>
      <c r="D890" s="6">
        <f t="shared" si="27"/>
        <v>-22.423038522707724</v>
      </c>
      <c r="E890" s="18"/>
      <c r="F890" s="18"/>
    </row>
    <row r="891" spans="2:6" x14ac:dyDescent="0.55000000000000004">
      <c r="B891" s="1">
        <v>879</v>
      </c>
      <c r="C891" s="6">
        <f t="shared" si="26"/>
        <v>-0.86458845134967155</v>
      </c>
      <c r="D891" s="6">
        <f t="shared" si="27"/>
        <v>29.635324982354973</v>
      </c>
      <c r="E891" s="18"/>
      <c r="F891" s="18"/>
    </row>
    <row r="892" spans="2:6" x14ac:dyDescent="0.55000000000000004">
      <c r="B892" s="1">
        <v>880</v>
      </c>
      <c r="C892" s="6">
        <f t="shared" si="26"/>
        <v>20.668062036272541</v>
      </c>
      <c r="D892" s="6">
        <f t="shared" si="27"/>
        <v>-21.279831100476095</v>
      </c>
      <c r="E892" s="18"/>
      <c r="F892" s="18"/>
    </row>
    <row r="893" spans="2:6" x14ac:dyDescent="0.55000000000000004">
      <c r="B893" s="1">
        <v>881</v>
      </c>
      <c r="C893" s="6">
        <f t="shared" si="26"/>
        <v>-29.631160836173599</v>
      </c>
      <c r="D893" s="6">
        <f t="shared" si="27"/>
        <v>1.7304067443268323</v>
      </c>
      <c r="E893" s="18"/>
      <c r="F893" s="18"/>
    </row>
    <row r="894" spans="2:6" x14ac:dyDescent="0.55000000000000004">
      <c r="B894" s="1">
        <v>882</v>
      </c>
      <c r="C894" s="6">
        <f t="shared" si="26"/>
        <v>23.030657923311139</v>
      </c>
      <c r="D894" s="6">
        <f t="shared" si="27"/>
        <v>18.75070120340639</v>
      </c>
      <c r="E894" s="18"/>
      <c r="F894" s="18"/>
    </row>
    <row r="895" spans="2:6" x14ac:dyDescent="0.55000000000000004">
      <c r="B895" s="1">
        <v>883</v>
      </c>
      <c r="C895" s="6">
        <f t="shared" si="26"/>
        <v>-4.3180385963157386</v>
      </c>
      <c r="D895" s="6">
        <f t="shared" si="27"/>
        <v>-29.399907188301253</v>
      </c>
      <c r="E895" s="18"/>
      <c r="F895" s="18"/>
    </row>
    <row r="896" spans="2:6" x14ac:dyDescent="0.55000000000000004">
      <c r="B896" s="1">
        <v>884</v>
      </c>
      <c r="C896" s="6">
        <f t="shared" si="26"/>
        <v>-16.685290987545663</v>
      </c>
      <c r="D896" s="6">
        <f t="shared" si="27"/>
        <v>24.608963096012957</v>
      </c>
      <c r="E896" s="18"/>
      <c r="F896" s="18"/>
    </row>
    <row r="897" spans="2:6" x14ac:dyDescent="0.55000000000000004">
      <c r="B897" s="1">
        <v>885</v>
      </c>
      <c r="C897" s="6">
        <f t="shared" si="26"/>
        <v>28.942822435183825</v>
      </c>
      <c r="D897" s="6">
        <f t="shared" si="27"/>
        <v>-6.8784467349409573</v>
      </c>
      <c r="E897" s="18"/>
      <c r="F897" s="18"/>
    </row>
    <row r="898" spans="2:6" x14ac:dyDescent="0.55000000000000004">
      <c r="B898" s="1">
        <v>886</v>
      </c>
      <c r="C898" s="6">
        <f t="shared" si="26"/>
        <v>-26.002252365591051</v>
      </c>
      <c r="D898" s="6">
        <f t="shared" si="27"/>
        <v>-14.487334879684203</v>
      </c>
      <c r="E898" s="18"/>
      <c r="F898" s="18"/>
    </row>
    <row r="899" spans="2:6" x14ac:dyDescent="0.55000000000000004">
      <c r="B899" s="1">
        <v>887</v>
      </c>
      <c r="C899" s="6">
        <f t="shared" si="26"/>
        <v>9.3919348129834965</v>
      </c>
      <c r="D899" s="6">
        <f t="shared" si="27"/>
        <v>28.262900779443513</v>
      </c>
      <c r="E899" s="18"/>
      <c r="F899" s="18"/>
    </row>
    <row r="900" spans="2:6" x14ac:dyDescent="0.55000000000000004">
      <c r="B900" s="1">
        <v>888</v>
      </c>
      <c r="C900" s="6">
        <f t="shared" si="26"/>
        <v>12.173388482525267</v>
      </c>
      <c r="D900" s="6">
        <f t="shared" si="27"/>
        <v>-27.199423024276104</v>
      </c>
      <c r="E900" s="18"/>
      <c r="F900" s="18"/>
    </row>
    <row r="901" spans="2:6" x14ac:dyDescent="0.55000000000000004">
      <c r="B901" s="1">
        <v>889</v>
      </c>
      <c r="C901" s="6">
        <f t="shared" si="26"/>
        <v>-27.364853142523845</v>
      </c>
      <c r="D901" s="6">
        <f t="shared" si="27"/>
        <v>11.839122116445239</v>
      </c>
      <c r="E901" s="18"/>
      <c r="F901" s="18"/>
    </row>
    <row r="902" spans="2:6" x14ac:dyDescent="0.55000000000000004">
      <c r="B902" s="1">
        <v>890</v>
      </c>
      <c r="C902" s="6">
        <f t="shared" si="26"/>
        <v>28.190852289536672</v>
      </c>
      <c r="D902" s="6">
        <f t="shared" si="27"/>
        <v>9.7609347497831926</v>
      </c>
      <c r="E902" s="18"/>
      <c r="F902" s="18"/>
    </row>
    <row r="903" spans="2:6" x14ac:dyDescent="0.55000000000000004">
      <c r="B903" s="1">
        <v>891</v>
      </c>
      <c r="C903" s="6">
        <f t="shared" si="26"/>
        <v>-14.201093089192705</v>
      </c>
      <c r="D903" s="6">
        <f t="shared" si="27"/>
        <v>-26.255074844153146</v>
      </c>
      <c r="E903" s="18"/>
      <c r="F903" s="18"/>
    </row>
    <row r="904" spans="2:6" x14ac:dyDescent="0.55000000000000004">
      <c r="B904" s="1">
        <v>892</v>
      </c>
      <c r="C904" s="6">
        <f t="shared" si="26"/>
        <v>-7.2682518218330561</v>
      </c>
      <c r="D904" s="6">
        <f t="shared" si="27"/>
        <v>28.968474510308969</v>
      </c>
      <c r="E904" s="18"/>
      <c r="F904" s="18"/>
    </row>
    <row r="905" spans="2:6" x14ac:dyDescent="0.55000000000000004">
      <c r="B905" s="1">
        <v>893</v>
      </c>
      <c r="C905" s="6">
        <f t="shared" si="26"/>
        <v>24.941600267710012</v>
      </c>
      <c r="D905" s="6">
        <f t="shared" si="27"/>
        <v>-16.459543617177477</v>
      </c>
      <c r="E905" s="18"/>
      <c r="F905" s="18"/>
    </row>
    <row r="906" spans="2:6" x14ac:dyDescent="0.55000000000000004">
      <c r="B906" s="1">
        <v>894</v>
      </c>
      <c r="C906" s="6">
        <f t="shared" si="26"/>
        <v>-29.525846581333557</v>
      </c>
      <c r="D906" s="6">
        <f t="shared" si="27"/>
        <v>-4.7142744569608537</v>
      </c>
      <c r="E906" s="18"/>
      <c r="F906" s="18"/>
    </row>
    <row r="907" spans="2:6" x14ac:dyDescent="0.55000000000000004">
      <c r="B907" s="1">
        <v>895</v>
      </c>
      <c r="C907" s="6">
        <f t="shared" si="26"/>
        <v>18.596922940171272</v>
      </c>
      <c r="D907" s="6">
        <f t="shared" si="27"/>
        <v>23.434044831341676</v>
      </c>
      <c r="E907" s="18"/>
      <c r="F907" s="18"/>
    </row>
    <row r="908" spans="2:6" x14ac:dyDescent="0.55000000000000004">
      <c r="B908" s="1">
        <v>896</v>
      </c>
      <c r="C908" s="6">
        <f t="shared" si="26"/>
        <v>2.11845010979013</v>
      </c>
      <c r="D908" s="6">
        <f t="shared" si="27"/>
        <v>-29.858201036437713</v>
      </c>
      <c r="E908" s="18"/>
      <c r="F908" s="18"/>
    </row>
    <row r="909" spans="2:6" x14ac:dyDescent="0.55000000000000004">
      <c r="B909" s="1">
        <v>897</v>
      </c>
      <c r="C909" s="6">
        <f t="shared" ref="C909:C972" si="28">B909^$C$9*COS(2*PI()*B909/$C$8)</f>
        <v>-21.743534682740471</v>
      </c>
      <c r="D909" s="6">
        <f t="shared" ref="D909:D972" si="29">B909^$C$9*SIN(2*PI()*B909/$C$8)</f>
        <v>20.596570090684086</v>
      </c>
      <c r="E909" s="18"/>
      <c r="F909" s="18"/>
    </row>
    <row r="910" spans="2:6" x14ac:dyDescent="0.55000000000000004">
      <c r="B910" s="1">
        <v>898</v>
      </c>
      <c r="C910" s="6">
        <f t="shared" si="28"/>
        <v>29.962486385514822</v>
      </c>
      <c r="D910" s="6">
        <f t="shared" si="29"/>
        <v>-0.49940924885192722</v>
      </c>
      <c r="E910" s="18"/>
      <c r="F910" s="18"/>
    </row>
    <row r="911" spans="2:6" x14ac:dyDescent="0.55000000000000004">
      <c r="B911" s="1">
        <v>899</v>
      </c>
      <c r="C911" s="6">
        <f t="shared" si="28"/>
        <v>-22.44284379876294</v>
      </c>
      <c r="D911" s="6">
        <f t="shared" si="29"/>
        <v>-19.882624631178047</v>
      </c>
      <c r="E911" s="18"/>
      <c r="F911" s="18"/>
    </row>
    <row r="912" spans="2:6" x14ac:dyDescent="0.55000000000000004">
      <c r="B912" s="1">
        <v>900</v>
      </c>
      <c r="C912" s="6">
        <f t="shared" si="28"/>
        <v>3.1192784405806218</v>
      </c>
      <c r="D912" s="6">
        <f t="shared" si="29"/>
        <v>29.837394356916104</v>
      </c>
      <c r="E912" s="18"/>
      <c r="F912" s="18"/>
    </row>
    <row r="913" spans="2:6" x14ac:dyDescent="0.55000000000000004">
      <c r="B913" s="1">
        <v>901</v>
      </c>
      <c r="C913" s="6">
        <f t="shared" si="28"/>
        <v>17.865204921720064</v>
      </c>
      <c r="D913" s="6">
        <f t="shared" si="29"/>
        <v>-24.121244849819615</v>
      </c>
      <c r="E913" s="18"/>
      <c r="F913" s="18"/>
    </row>
    <row r="914" spans="2:6" x14ac:dyDescent="0.55000000000000004">
      <c r="B914" s="1">
        <v>902</v>
      </c>
      <c r="C914" s="6">
        <f t="shared" si="28"/>
        <v>-29.483373807102435</v>
      </c>
      <c r="D914" s="6">
        <f t="shared" si="29"/>
        <v>5.7210723602019007</v>
      </c>
      <c r="E914" s="18"/>
      <c r="F914" s="18"/>
    </row>
    <row r="915" spans="2:6" x14ac:dyDescent="0.55000000000000004">
      <c r="B915" s="1">
        <v>903</v>
      </c>
      <c r="C915" s="6">
        <f t="shared" si="28"/>
        <v>25.618529938161675</v>
      </c>
      <c r="D915" s="6">
        <f t="shared" si="29"/>
        <v>15.706397543915475</v>
      </c>
      <c r="E915" s="18"/>
      <c r="F915" s="18"/>
    </row>
    <row r="916" spans="2:6" x14ac:dyDescent="0.55000000000000004">
      <c r="B916" s="1">
        <v>904</v>
      </c>
      <c r="C916" s="6">
        <f t="shared" si="28"/>
        <v>-8.2848000549469525</v>
      </c>
      <c r="D916" s="6">
        <f t="shared" si="29"/>
        <v>-28.902631161358837</v>
      </c>
      <c r="E916" s="18"/>
      <c r="F916" s="18"/>
    </row>
    <row r="917" spans="2:6" x14ac:dyDescent="0.55000000000000004">
      <c r="B917" s="1">
        <v>905</v>
      </c>
      <c r="C917" s="6">
        <f t="shared" si="28"/>
        <v>-13.422442848979063</v>
      </c>
      <c r="D917" s="6">
        <f t="shared" si="29"/>
        <v>26.922816122498975</v>
      </c>
      <c r="E917" s="18"/>
      <c r="F917" s="18"/>
    </row>
    <row r="918" spans="2:6" x14ac:dyDescent="0.55000000000000004">
      <c r="B918" s="1">
        <v>906</v>
      </c>
      <c r="C918" s="6">
        <f t="shared" si="28"/>
        <v>28.099117352745008</v>
      </c>
      <c r="D918" s="6">
        <f t="shared" si="29"/>
        <v>-10.790718418931352</v>
      </c>
      <c r="E918" s="18"/>
      <c r="F918" s="18"/>
    </row>
    <row r="919" spans="2:6" x14ac:dyDescent="0.55000000000000004">
      <c r="B919" s="1">
        <v>907</v>
      </c>
      <c r="C919" s="6">
        <f t="shared" si="28"/>
        <v>-28.023675059691865</v>
      </c>
      <c r="D919" s="6">
        <f t="shared" si="29"/>
        <v>-11.030577326178539</v>
      </c>
      <c r="E919" s="18"/>
      <c r="F919" s="18"/>
    </row>
    <row r="920" spans="2:6" x14ac:dyDescent="0.55000000000000004">
      <c r="B920" s="1">
        <v>908</v>
      </c>
      <c r="C920" s="6">
        <f t="shared" si="28"/>
        <v>13.219484321008473</v>
      </c>
      <c r="D920" s="6">
        <f t="shared" si="29"/>
        <v>27.078501330144018</v>
      </c>
      <c r="E920" s="18"/>
      <c r="F920" s="18"/>
    </row>
    <row r="921" spans="2:6" x14ac:dyDescent="0.55000000000000004">
      <c r="B921" s="1">
        <v>909</v>
      </c>
      <c r="C921" s="6">
        <f t="shared" si="28"/>
        <v>8.5489034583734096</v>
      </c>
      <c r="D921" s="6">
        <f t="shared" si="29"/>
        <v>-28.912216270279441</v>
      </c>
      <c r="E921" s="18"/>
      <c r="F921" s="18"/>
    </row>
    <row r="922" spans="2:6" x14ac:dyDescent="0.55000000000000004">
      <c r="B922" s="1">
        <v>910</v>
      </c>
      <c r="C922" s="6">
        <f t="shared" si="28"/>
        <v>-25.848130309900679</v>
      </c>
      <c r="D922" s="6">
        <f t="shared" si="29"/>
        <v>15.552303992733481</v>
      </c>
      <c r="E922" s="18"/>
      <c r="F922" s="18"/>
    </row>
    <row r="923" spans="2:6" x14ac:dyDescent="0.55000000000000004">
      <c r="B923" s="1">
        <v>911</v>
      </c>
      <c r="C923" s="6">
        <f t="shared" si="28"/>
        <v>29.581158771692454</v>
      </c>
      <c r="D923" s="6">
        <f t="shared" si="29"/>
        <v>5.9962526401013765</v>
      </c>
      <c r="E923" s="18"/>
      <c r="F923" s="18"/>
    </row>
    <row r="924" spans="2:6" x14ac:dyDescent="0.55000000000000004">
      <c r="B924" s="1">
        <v>912</v>
      </c>
      <c r="C924" s="6">
        <f t="shared" si="28"/>
        <v>-17.771078522623817</v>
      </c>
      <c r="D924" s="6">
        <f t="shared" si="29"/>
        <v>-24.416977047594131</v>
      </c>
      <c r="E924" s="18"/>
      <c r="F924" s="18"/>
    </row>
    <row r="925" spans="2:6" x14ac:dyDescent="0.55000000000000004">
      <c r="B925" s="1">
        <v>913</v>
      </c>
      <c r="C925" s="6">
        <f t="shared" si="28"/>
        <v>-3.3920421969680956</v>
      </c>
      <c r="D925" s="6">
        <f t="shared" si="29"/>
        <v>30.02489050328057</v>
      </c>
      <c r="E925" s="18"/>
      <c r="F925" s="18"/>
    </row>
    <row r="926" spans="2:6" x14ac:dyDescent="0.55000000000000004">
      <c r="B926" s="1">
        <v>914</v>
      </c>
      <c r="C926" s="6">
        <f t="shared" si="28"/>
        <v>22.795574507372727</v>
      </c>
      <c r="D926" s="6">
        <f t="shared" si="29"/>
        <v>-19.858544329301143</v>
      </c>
      <c r="E926" s="18"/>
      <c r="F926" s="18"/>
    </row>
    <row r="927" spans="2:6" x14ac:dyDescent="0.55000000000000004">
      <c r="B927" s="1">
        <v>915</v>
      </c>
      <c r="C927" s="6">
        <f t="shared" si="28"/>
        <v>-30.239515060005434</v>
      </c>
      <c r="D927" s="6">
        <f t="shared" si="29"/>
        <v>-0.75612759221219406</v>
      </c>
      <c r="E927" s="18"/>
      <c r="F927" s="18"/>
    </row>
    <row r="928" spans="2:6" x14ac:dyDescent="0.55000000000000004">
      <c r="B928" s="1">
        <v>916</v>
      </c>
      <c r="C928" s="6">
        <f t="shared" si="28"/>
        <v>21.798407523494465</v>
      </c>
      <c r="D928" s="6">
        <f t="shared" si="29"/>
        <v>20.995938403406978</v>
      </c>
      <c r="E928" s="18"/>
      <c r="F928" s="18"/>
    </row>
    <row r="929" spans="2:6" x14ac:dyDescent="0.55000000000000004">
      <c r="B929" s="1">
        <v>917</v>
      </c>
      <c r="C929" s="6">
        <f t="shared" si="28"/>
        <v>-1.8913490533991622</v>
      </c>
      <c r="D929" s="6">
        <f t="shared" si="29"/>
        <v>-30.222885347997568</v>
      </c>
      <c r="E929" s="18"/>
      <c r="F929" s="18"/>
    </row>
    <row r="930" spans="2:6" x14ac:dyDescent="0.55000000000000004">
      <c r="B930" s="1">
        <v>918</v>
      </c>
      <c r="C930" s="6">
        <f t="shared" si="28"/>
        <v>-19.031478182987296</v>
      </c>
      <c r="D930" s="6">
        <f t="shared" si="29"/>
        <v>23.575471112376068</v>
      </c>
      <c r="E930" s="18"/>
      <c r="F930" s="18"/>
    </row>
    <row r="931" spans="2:6" x14ac:dyDescent="0.55000000000000004">
      <c r="B931" s="1">
        <v>919</v>
      </c>
      <c r="C931" s="6">
        <f t="shared" si="28"/>
        <v>29.974623875152865</v>
      </c>
      <c r="D931" s="6">
        <f t="shared" si="29"/>
        <v>-4.530112972445151</v>
      </c>
      <c r="E931" s="18"/>
      <c r="F931" s="18"/>
    </row>
    <row r="932" spans="2:6" x14ac:dyDescent="0.55000000000000004">
      <c r="B932" s="1">
        <v>920</v>
      </c>
      <c r="C932" s="6">
        <f t="shared" si="28"/>
        <v>-25.175754053453957</v>
      </c>
      <c r="D932" s="6">
        <f t="shared" si="29"/>
        <v>-16.916897110285824</v>
      </c>
      <c r="E932" s="18"/>
      <c r="F932" s="18"/>
    </row>
    <row r="933" spans="2:6" x14ac:dyDescent="0.55000000000000004">
      <c r="B933" s="1">
        <v>921</v>
      </c>
      <c r="C933" s="6">
        <f t="shared" si="28"/>
        <v>7.1399121137023585</v>
      </c>
      <c r="D933" s="6">
        <f t="shared" si="29"/>
        <v>29.496129491996172</v>
      </c>
      <c r="E933" s="18"/>
      <c r="F933" s="18"/>
    </row>
    <row r="934" spans="2:6" x14ac:dyDescent="0.55000000000000004">
      <c r="B934" s="1">
        <v>922</v>
      </c>
      <c r="C934" s="6">
        <f t="shared" si="28"/>
        <v>14.668082195480606</v>
      </c>
      <c r="D934" s="6">
        <f t="shared" si="29"/>
        <v>-26.586601225177784</v>
      </c>
      <c r="E934" s="18"/>
      <c r="F934" s="18"/>
    </row>
    <row r="935" spans="2:6" x14ac:dyDescent="0.55000000000000004">
      <c r="B935" s="1">
        <v>923</v>
      </c>
      <c r="C935" s="6">
        <f t="shared" si="28"/>
        <v>-28.79057050185753</v>
      </c>
      <c r="D935" s="6">
        <f t="shared" si="29"/>
        <v>9.7006726662418252</v>
      </c>
      <c r="E935" s="18"/>
      <c r="F935" s="18"/>
    </row>
    <row r="936" spans="2:6" x14ac:dyDescent="0.55000000000000004">
      <c r="B936" s="1">
        <v>924</v>
      </c>
      <c r="C936" s="6">
        <f t="shared" si="28"/>
        <v>27.796783449511523</v>
      </c>
      <c r="D936" s="6">
        <f t="shared" si="29"/>
        <v>12.301984793559217</v>
      </c>
      <c r="E936" s="18"/>
      <c r="F936" s="18"/>
    </row>
    <row r="937" spans="2:6" x14ac:dyDescent="0.55000000000000004">
      <c r="B937" s="1">
        <v>925</v>
      </c>
      <c r="C937" s="6">
        <f t="shared" si="28"/>
        <v>-12.192653549108472</v>
      </c>
      <c r="D937" s="6">
        <f t="shared" si="29"/>
        <v>-27.862864164177605</v>
      </c>
      <c r="E937" s="18"/>
      <c r="F937" s="18"/>
    </row>
    <row r="938" spans="2:6" x14ac:dyDescent="0.55000000000000004">
      <c r="B938" s="1">
        <v>926</v>
      </c>
      <c r="C938" s="6">
        <f t="shared" si="28"/>
        <v>-9.8364927701776015</v>
      </c>
      <c r="D938" s="6">
        <f t="shared" si="29"/>
        <v>28.79658677659982</v>
      </c>
      <c r="E938" s="18"/>
      <c r="F938" s="18"/>
    </row>
    <row r="939" spans="2:6" x14ac:dyDescent="0.55000000000000004">
      <c r="B939" s="1">
        <v>927</v>
      </c>
      <c r="C939" s="6">
        <f t="shared" si="28"/>
        <v>26.719642719225515</v>
      </c>
      <c r="D939" s="6">
        <f t="shared" si="29"/>
        <v>-14.596598677669363</v>
      </c>
      <c r="E939" s="18"/>
      <c r="F939" s="18"/>
    </row>
    <row r="940" spans="2:6" x14ac:dyDescent="0.55000000000000004">
      <c r="B940" s="1">
        <v>928</v>
      </c>
      <c r="C940" s="6">
        <f t="shared" si="28"/>
        <v>-29.577890322056614</v>
      </c>
      <c r="D940" s="6">
        <f t="shared" si="29"/>
        <v>-7.290295199536839</v>
      </c>
      <c r="E940" s="18"/>
      <c r="F940" s="18"/>
    </row>
    <row r="941" spans="2:6" x14ac:dyDescent="0.55000000000000004">
      <c r="B941" s="1">
        <v>929</v>
      </c>
      <c r="C941" s="6">
        <f t="shared" si="28"/>
        <v>16.893885830965999</v>
      </c>
      <c r="D941" s="6">
        <f t="shared" si="29"/>
        <v>25.369206166734628</v>
      </c>
      <c r="E941" s="18"/>
      <c r="F941" s="18"/>
    </row>
    <row r="942" spans="2:6" x14ac:dyDescent="0.55000000000000004">
      <c r="B942" s="1">
        <v>930</v>
      </c>
      <c r="C942" s="6">
        <f t="shared" si="28"/>
        <v>4.6827406177990198</v>
      </c>
      <c r="D942" s="6">
        <f t="shared" si="29"/>
        <v>-30.134232034455685</v>
      </c>
      <c r="E942" s="18"/>
      <c r="F942" s="18"/>
    </row>
    <row r="943" spans="2:6" x14ac:dyDescent="0.55000000000000004">
      <c r="B943" s="1">
        <v>931</v>
      </c>
      <c r="C943" s="6">
        <f t="shared" si="28"/>
        <v>-23.821462133005543</v>
      </c>
      <c r="D943" s="6">
        <f t="shared" si="29"/>
        <v>19.066670969148838</v>
      </c>
      <c r="E943" s="18"/>
      <c r="F943" s="18"/>
    </row>
    <row r="944" spans="2:6" x14ac:dyDescent="0.55000000000000004">
      <c r="B944" s="1">
        <v>932</v>
      </c>
      <c r="C944" s="6">
        <f t="shared" si="28"/>
        <v>30.460861861697364</v>
      </c>
      <c r="D944" s="6">
        <f t="shared" si="29"/>
        <v>2.0336899081696127</v>
      </c>
      <c r="E944" s="18"/>
      <c r="F944" s="18"/>
    </row>
    <row r="945" spans="2:6" x14ac:dyDescent="0.55000000000000004">
      <c r="B945" s="1">
        <v>933</v>
      </c>
      <c r="C945" s="6">
        <f t="shared" si="28"/>
        <v>-21.098026881891744</v>
      </c>
      <c r="D945" s="6">
        <f t="shared" si="29"/>
        <v>-22.087853261260435</v>
      </c>
      <c r="E945" s="18"/>
      <c r="F945" s="18"/>
    </row>
    <row r="946" spans="2:6" x14ac:dyDescent="0.55000000000000004">
      <c r="B946" s="1">
        <v>934</v>
      </c>
      <c r="C946" s="6">
        <f t="shared" si="28"/>
        <v>0.63663506361044897</v>
      </c>
      <c r="D946" s="6">
        <f t="shared" si="29"/>
        <v>30.554781881004843</v>
      </c>
      <c r="E946" s="18"/>
      <c r="F946" s="18"/>
    </row>
    <row r="947" spans="2:6" x14ac:dyDescent="0.55000000000000004">
      <c r="B947" s="1">
        <v>935</v>
      </c>
      <c r="C947" s="6">
        <f t="shared" si="28"/>
        <v>20.181272656900251</v>
      </c>
      <c r="D947" s="6">
        <f t="shared" si="29"/>
        <v>-22.972075090157841</v>
      </c>
      <c r="E947" s="18"/>
      <c r="F947" s="18"/>
    </row>
    <row r="948" spans="2:6" x14ac:dyDescent="0.55000000000000004">
      <c r="B948" s="1">
        <v>936</v>
      </c>
      <c r="C948" s="6">
        <f t="shared" si="28"/>
        <v>-30.414773056396278</v>
      </c>
      <c r="D948" s="6">
        <f t="shared" si="29"/>
        <v>3.3078059084400753</v>
      </c>
      <c r="E948" s="18"/>
      <c r="F948" s="18"/>
    </row>
    <row r="949" spans="2:6" x14ac:dyDescent="0.55000000000000004">
      <c r="B949" s="1">
        <v>937</v>
      </c>
      <c r="C949" s="6">
        <f t="shared" si="28"/>
        <v>24.674109973636394</v>
      </c>
      <c r="D949" s="6">
        <f t="shared" si="29"/>
        <v>18.115968011919673</v>
      </c>
      <c r="E949" s="18"/>
      <c r="F949" s="18"/>
    </row>
    <row r="950" spans="2:6" x14ac:dyDescent="0.55000000000000004">
      <c r="B950" s="1">
        <v>938</v>
      </c>
      <c r="C950" s="6">
        <f t="shared" si="28"/>
        <v>-5.9593440879048272</v>
      </c>
      <c r="D950" s="6">
        <f t="shared" si="29"/>
        <v>-30.04140838978682</v>
      </c>
      <c r="E950" s="18"/>
      <c r="F950" s="18"/>
    </row>
    <row r="951" spans="2:6" x14ac:dyDescent="0.55000000000000004">
      <c r="B951" s="1">
        <v>939</v>
      </c>
      <c r="C951" s="6">
        <f t="shared" si="28"/>
        <v>-15.907435121742488</v>
      </c>
      <c r="D951" s="6">
        <f t="shared" si="29"/>
        <v>26.190714153064892</v>
      </c>
      <c r="E951" s="18"/>
      <c r="F951" s="18"/>
    </row>
    <row r="952" spans="2:6" x14ac:dyDescent="0.55000000000000004">
      <c r="B952" s="1">
        <v>940</v>
      </c>
      <c r="C952" s="6">
        <f t="shared" si="28"/>
        <v>29.437052335894528</v>
      </c>
      <c r="D952" s="6">
        <f t="shared" si="29"/>
        <v>-8.57087800483745</v>
      </c>
      <c r="E952" s="18"/>
      <c r="F952" s="18"/>
    </row>
    <row r="953" spans="2:6" x14ac:dyDescent="0.55000000000000004">
      <c r="B953" s="1">
        <v>941</v>
      </c>
      <c r="C953" s="6">
        <f t="shared" si="28"/>
        <v>-27.509864222637788</v>
      </c>
      <c r="D953" s="6">
        <f t="shared" si="29"/>
        <v>-13.572301590077979</v>
      </c>
      <c r="E953" s="18"/>
      <c r="F953" s="18"/>
    </row>
    <row r="954" spans="2:6" x14ac:dyDescent="0.55000000000000004">
      <c r="B954" s="1">
        <v>942</v>
      </c>
      <c r="C954" s="6">
        <f t="shared" si="28"/>
        <v>11.122299605172755</v>
      </c>
      <c r="D954" s="6">
        <f t="shared" si="29"/>
        <v>28.605846456498611</v>
      </c>
      <c r="E954" s="18"/>
      <c r="F954" s="18"/>
    </row>
    <row r="955" spans="2:6" x14ac:dyDescent="0.55000000000000004">
      <c r="B955" s="1">
        <v>943</v>
      </c>
      <c r="C955" s="6">
        <f t="shared" si="28"/>
        <v>11.128201595221688</v>
      </c>
      <c r="D955" s="6">
        <f t="shared" si="29"/>
        <v>-28.621025999361127</v>
      </c>
      <c r="E955" s="18"/>
      <c r="F955" s="18"/>
    </row>
    <row r="956" spans="2:6" x14ac:dyDescent="0.55000000000000004">
      <c r="B956" s="1">
        <v>944</v>
      </c>
      <c r="C956" s="6">
        <f t="shared" si="28"/>
        <v>-27.553681395396573</v>
      </c>
      <c r="D956" s="6">
        <f t="shared" si="29"/>
        <v>13.593919286246209</v>
      </c>
      <c r="E956" s="18"/>
      <c r="F956" s="18"/>
    </row>
    <row r="957" spans="2:6" x14ac:dyDescent="0.55000000000000004">
      <c r="B957" s="1">
        <v>945</v>
      </c>
      <c r="C957" s="6">
        <f t="shared" si="28"/>
        <v>29.515238535611694</v>
      </c>
      <c r="D957" s="6">
        <f t="shared" si="29"/>
        <v>8.5936426610572241</v>
      </c>
      <c r="E957" s="18"/>
      <c r="F957" s="18"/>
    </row>
    <row r="958" spans="2:6" x14ac:dyDescent="0.55000000000000004">
      <c r="B958" s="1">
        <v>946</v>
      </c>
      <c r="C958" s="6">
        <f t="shared" si="28"/>
        <v>-15.966617917687083</v>
      </c>
      <c r="D958" s="6">
        <f t="shared" si="29"/>
        <v>-26.288155360743627</v>
      </c>
      <c r="E958" s="18"/>
      <c r="F958" s="18"/>
    </row>
    <row r="959" spans="2:6" x14ac:dyDescent="0.55000000000000004">
      <c r="B959" s="1">
        <v>947</v>
      </c>
      <c r="C959" s="6">
        <f t="shared" si="28"/>
        <v>-5.9878654402267033</v>
      </c>
      <c r="D959" s="6">
        <f t="shared" si="29"/>
        <v>30.185186225526895</v>
      </c>
      <c r="E959" s="18"/>
      <c r="F959" s="18"/>
    </row>
    <row r="960" spans="2:6" x14ac:dyDescent="0.55000000000000004">
      <c r="B960" s="1">
        <v>948</v>
      </c>
      <c r="C960" s="6">
        <f t="shared" si="28"/>
        <v>24.818519405446011</v>
      </c>
      <c r="D960" s="6">
        <f t="shared" si="29"/>
        <v>-18.221994800830664</v>
      </c>
      <c r="E960" s="18"/>
      <c r="F960" s="18"/>
    </row>
    <row r="961" spans="2:6" x14ac:dyDescent="0.55000000000000004">
      <c r="B961" s="1">
        <v>949</v>
      </c>
      <c r="C961" s="6">
        <f t="shared" si="28"/>
        <v>-30.625258426415499</v>
      </c>
      <c r="D961" s="6">
        <f t="shared" si="29"/>
        <v>-3.330697571870866</v>
      </c>
      <c r="E961" s="18"/>
      <c r="F961" s="18"/>
    </row>
    <row r="962" spans="2:6" x14ac:dyDescent="0.55000000000000004">
      <c r="B962" s="1">
        <v>950</v>
      </c>
      <c r="C962" s="6">
        <f t="shared" si="28"/>
        <v>20.342510420679243</v>
      </c>
      <c r="D962" s="6">
        <f t="shared" si="29"/>
        <v>23.155609898781687</v>
      </c>
      <c r="E962" s="18"/>
      <c r="F962" s="18"/>
    </row>
    <row r="963" spans="2:6" x14ac:dyDescent="0.55000000000000004">
      <c r="B963" s="1">
        <v>951</v>
      </c>
      <c r="C963" s="6">
        <f t="shared" si="28"/>
        <v>0.64240272521616792</v>
      </c>
      <c r="D963" s="6">
        <f t="shared" si="29"/>
        <v>-30.831596110786009</v>
      </c>
      <c r="E963" s="18"/>
      <c r="F963" s="18"/>
    </row>
    <row r="964" spans="2:6" x14ac:dyDescent="0.55000000000000004">
      <c r="B964" s="1">
        <v>952</v>
      </c>
      <c r="C964" s="6">
        <f t="shared" si="28"/>
        <v>-21.311768681109648</v>
      </c>
      <c r="D964" s="6">
        <f t="shared" si="29"/>
        <v>22.311622883216582</v>
      </c>
      <c r="E964" s="18"/>
      <c r="F964" s="18"/>
    </row>
    <row r="965" spans="2:6" x14ac:dyDescent="0.55000000000000004">
      <c r="B965" s="1">
        <v>953</v>
      </c>
      <c r="C965" s="6">
        <f t="shared" si="28"/>
        <v>30.802125163663984</v>
      </c>
      <c r="D965" s="6">
        <f t="shared" si="29"/>
        <v>-2.0564740217124085</v>
      </c>
      <c r="E965" s="18"/>
      <c r="F965" s="18"/>
    </row>
    <row r="966" spans="2:6" x14ac:dyDescent="0.55000000000000004">
      <c r="B966" s="1">
        <v>954</v>
      </c>
      <c r="C966" s="6">
        <f t="shared" si="28"/>
        <v>-24.113916975964877</v>
      </c>
      <c r="D966" s="6">
        <f t="shared" si="29"/>
        <v>-19.300751489936165</v>
      </c>
      <c r="E966" s="18"/>
      <c r="F966" s="18"/>
    </row>
    <row r="967" spans="2:6" x14ac:dyDescent="0.55000000000000004">
      <c r="B967" s="1">
        <v>955</v>
      </c>
      <c r="C967" s="6">
        <f t="shared" si="28"/>
        <v>4.7452632871875808</v>
      </c>
      <c r="D967" s="6">
        <f t="shared" si="29"/>
        <v>30.536576041450189</v>
      </c>
      <c r="E967" s="18"/>
      <c r="F967" s="18"/>
    </row>
    <row r="968" spans="2:6" x14ac:dyDescent="0.55000000000000004">
      <c r="B968" s="1">
        <v>956</v>
      </c>
      <c r="C968" s="6">
        <f t="shared" si="28"/>
        <v>17.137625336332313</v>
      </c>
      <c r="D968" s="6">
        <f t="shared" si="29"/>
        <v>-25.735224845170887</v>
      </c>
      <c r="E968" s="18"/>
      <c r="F968" s="18"/>
    </row>
    <row r="969" spans="2:6" x14ac:dyDescent="0.55000000000000004">
      <c r="B969" s="1">
        <v>957</v>
      </c>
      <c r="C969" s="6">
        <f t="shared" si="28"/>
        <v>-30.036489613046324</v>
      </c>
      <c r="D969" s="6">
        <f t="shared" si="29"/>
        <v>7.4033297728360123</v>
      </c>
      <c r="E969" s="18"/>
      <c r="F969" s="18"/>
    </row>
    <row r="970" spans="2:6" x14ac:dyDescent="0.55000000000000004">
      <c r="B970" s="1">
        <v>958</v>
      </c>
      <c r="C970" s="6">
        <f t="shared" si="28"/>
        <v>27.162737344624833</v>
      </c>
      <c r="D970" s="6">
        <f t="shared" si="29"/>
        <v>14.838655597692243</v>
      </c>
      <c r="E970" s="18"/>
      <c r="F970" s="18"/>
    </row>
    <row r="971" spans="2:6" x14ac:dyDescent="0.55000000000000004">
      <c r="B971" s="1">
        <v>959</v>
      </c>
      <c r="C971" s="6">
        <f t="shared" si="28"/>
        <v>-10.010230718479884</v>
      </c>
      <c r="D971" s="6">
        <f t="shared" si="29"/>
        <v>-29.305209109692456</v>
      </c>
      <c r="E971" s="18"/>
      <c r="F971" s="18"/>
    </row>
    <row r="972" spans="2:6" x14ac:dyDescent="0.55000000000000004">
      <c r="B972" s="1">
        <v>960</v>
      </c>
      <c r="C972" s="6">
        <f t="shared" si="28"/>
        <v>-12.421183672722384</v>
      </c>
      <c r="D972" s="6">
        <f t="shared" si="29"/>
        <v>28.385105181564764</v>
      </c>
      <c r="E972" s="18"/>
      <c r="F972" s="18"/>
    </row>
    <row r="973" spans="2:6" x14ac:dyDescent="0.55000000000000004">
      <c r="B973" s="1">
        <v>961</v>
      </c>
      <c r="C973" s="6">
        <f t="shared" ref="C973:C1012" si="30">B973^$C$9*COS(2*PI()*B973/$C$8)</f>
        <v>28.347858216778405</v>
      </c>
      <c r="D973" s="6">
        <f t="shared" ref="D973:D1012" si="31">B973^$C$9*SIN(2*PI()*B973/$C$8)</f>
        <v>-12.545873206813033</v>
      </c>
      <c r="E973" s="18"/>
      <c r="F973" s="18"/>
    </row>
    <row r="974" spans="2:6" x14ac:dyDescent="0.55000000000000004">
      <c r="B974" s="1">
        <v>962</v>
      </c>
      <c r="C974" s="6">
        <f t="shared" si="30"/>
        <v>-29.392529061058646</v>
      </c>
      <c r="D974" s="6">
        <f t="shared" si="31"/>
        <v>-9.9034961197964329</v>
      </c>
      <c r="E974" s="18"/>
      <c r="F974" s="18"/>
    </row>
    <row r="975" spans="2:6" x14ac:dyDescent="0.55000000000000004">
      <c r="B975" s="1">
        <v>963</v>
      </c>
      <c r="C975" s="6">
        <f t="shared" si="30"/>
        <v>14.990669107557457</v>
      </c>
      <c r="D975" s="6">
        <f t="shared" si="31"/>
        <v>27.171305447249352</v>
      </c>
      <c r="E975" s="18"/>
      <c r="F975" s="18"/>
    </row>
    <row r="976" spans="2:6" x14ac:dyDescent="0.55000000000000004">
      <c r="B976" s="1">
        <v>964</v>
      </c>
      <c r="C976" s="6">
        <f t="shared" si="30"/>
        <v>7.3046862660200844</v>
      </c>
      <c r="D976" s="6">
        <f t="shared" si="31"/>
        <v>-30.176838113941255</v>
      </c>
      <c r="E976" s="18"/>
      <c r="F976" s="18"/>
    </row>
    <row r="977" spans="2:6" x14ac:dyDescent="0.55000000000000004">
      <c r="B977" s="1">
        <v>965</v>
      </c>
      <c r="C977" s="6">
        <f t="shared" si="30"/>
        <v>-25.784115042283901</v>
      </c>
      <c r="D977" s="6">
        <f t="shared" si="31"/>
        <v>17.32568646508037</v>
      </c>
      <c r="E977" s="18"/>
      <c r="F977" s="18"/>
    </row>
    <row r="978" spans="2:6" x14ac:dyDescent="0.55000000000000004">
      <c r="B978" s="1">
        <v>966</v>
      </c>
      <c r="C978" s="6">
        <f t="shared" si="30"/>
        <v>30.731555981334555</v>
      </c>
      <c r="D978" s="6">
        <f t="shared" si="31"/>
        <v>4.644509335344293</v>
      </c>
      <c r="E978" s="18"/>
      <c r="F978" s="18"/>
    </row>
    <row r="979" spans="2:6" x14ac:dyDescent="0.55000000000000004">
      <c r="B979" s="1">
        <v>967</v>
      </c>
      <c r="C979" s="6">
        <f t="shared" si="30"/>
        <v>-19.532796159486928</v>
      </c>
      <c r="D979" s="6">
        <f t="shared" si="31"/>
        <v>-24.196484748655799</v>
      </c>
      <c r="E979" s="18"/>
      <c r="F979" s="18"/>
    </row>
    <row r="980" spans="2:6" x14ac:dyDescent="0.55000000000000004">
      <c r="B980" s="1">
        <v>968</v>
      </c>
      <c r="C980" s="6">
        <f t="shared" si="30"/>
        <v>-1.943232195370215</v>
      </c>
      <c r="D980" s="6">
        <f t="shared" si="31"/>
        <v>31.051954022812744</v>
      </c>
      <c r="E980" s="18"/>
      <c r="F980" s="18"/>
    </row>
    <row r="981" spans="2:6" x14ac:dyDescent="0.55000000000000004">
      <c r="B981" s="1">
        <v>969</v>
      </c>
      <c r="C981" s="6">
        <f t="shared" si="30"/>
        <v>22.420170924176166</v>
      </c>
      <c r="D981" s="6">
        <f t="shared" si="31"/>
        <v>-21.594812704228893</v>
      </c>
      <c r="E981" s="18"/>
      <c r="F981" s="18"/>
    </row>
    <row r="982" spans="2:6" x14ac:dyDescent="0.55000000000000004">
      <c r="B982" s="1">
        <v>970</v>
      </c>
      <c r="C982" s="6">
        <f t="shared" si="30"/>
        <v>-31.135091213034688</v>
      </c>
      <c r="D982" s="6">
        <f t="shared" si="31"/>
        <v>0.77852113395209332</v>
      </c>
      <c r="E982" s="18"/>
      <c r="F982" s="18"/>
    </row>
    <row r="983" spans="2:6" x14ac:dyDescent="0.55000000000000004">
      <c r="B983" s="1">
        <v>971</v>
      </c>
      <c r="C983" s="6">
        <f t="shared" si="30"/>
        <v>23.495628086892044</v>
      </c>
      <c r="D983" s="6">
        <f t="shared" si="31"/>
        <v>20.468401520452197</v>
      </c>
      <c r="E983" s="18"/>
      <c r="F983" s="18"/>
    </row>
    <row r="984" spans="2:6" x14ac:dyDescent="0.55000000000000004">
      <c r="B984" s="1">
        <v>972</v>
      </c>
      <c r="C984" s="6">
        <f t="shared" si="30"/>
        <v>-3.4999270308447881</v>
      </c>
      <c r="D984" s="6">
        <f t="shared" si="31"/>
        <v>-30.979840393048541</v>
      </c>
      <c r="E984" s="18"/>
      <c r="F984" s="18"/>
    </row>
    <row r="985" spans="2:6" x14ac:dyDescent="0.55000000000000004">
      <c r="B985" s="1">
        <v>973</v>
      </c>
      <c r="C985" s="6">
        <f t="shared" si="30"/>
        <v>-18.355777587118308</v>
      </c>
      <c r="D985" s="6">
        <f t="shared" si="31"/>
        <v>25.220337610195568</v>
      </c>
      <c r="E985" s="18"/>
      <c r="F985" s="18"/>
    </row>
    <row r="986" spans="2:6" x14ac:dyDescent="0.55000000000000004">
      <c r="B986" s="1">
        <v>974</v>
      </c>
      <c r="C986" s="6">
        <f t="shared" si="30"/>
        <v>30.586900646827914</v>
      </c>
      <c r="D986" s="6">
        <f t="shared" si="31"/>
        <v>-6.2001216779252131</v>
      </c>
      <c r="E986" s="18"/>
      <c r="F986" s="18"/>
    </row>
    <row r="987" spans="2:6" x14ac:dyDescent="0.55000000000000004">
      <c r="B987" s="1">
        <v>975</v>
      </c>
      <c r="C987" s="6">
        <f t="shared" si="30"/>
        <v>-26.755356750418184</v>
      </c>
      <c r="D987" s="6">
        <f t="shared" si="31"/>
        <v>-16.098164030654299</v>
      </c>
      <c r="E987" s="18"/>
      <c r="F987" s="18"/>
    </row>
    <row r="988" spans="2:6" x14ac:dyDescent="0.55000000000000004">
      <c r="B988" s="1">
        <v>976</v>
      </c>
      <c r="C988" s="6">
        <f t="shared" si="30"/>
        <v>8.858361102537069</v>
      </c>
      <c r="D988" s="6">
        <f t="shared" si="31"/>
        <v>29.958795679684091</v>
      </c>
      <c r="E988" s="18"/>
      <c r="F988" s="18"/>
    </row>
    <row r="989" spans="2:6" x14ac:dyDescent="0.55000000000000004">
      <c r="B989" s="1">
        <v>977</v>
      </c>
      <c r="C989" s="6">
        <f t="shared" si="30"/>
        <v>13.712570445240402</v>
      </c>
      <c r="D989" s="6">
        <f t="shared" si="31"/>
        <v>-28.088528117085801</v>
      </c>
      <c r="E989" s="18"/>
      <c r="F989" s="18"/>
    </row>
    <row r="990" spans="2:6" x14ac:dyDescent="0.55000000000000004">
      <c r="B990" s="1">
        <v>978</v>
      </c>
      <c r="C990" s="6">
        <f t="shared" si="30"/>
        <v>-29.099858182565828</v>
      </c>
      <c r="D990" s="6">
        <f t="shared" si="31"/>
        <v>11.454180623447343</v>
      </c>
      <c r="E990" s="18"/>
      <c r="F990" s="18"/>
    </row>
    <row r="991" spans="2:6" x14ac:dyDescent="0.55000000000000004">
      <c r="B991" s="1">
        <v>979</v>
      </c>
      <c r="C991" s="6">
        <f t="shared" si="30"/>
        <v>29.209217671952828</v>
      </c>
      <c r="D991" s="6">
        <f t="shared" si="31"/>
        <v>11.217022911293284</v>
      </c>
      <c r="E991" s="18"/>
      <c r="F991" s="18"/>
    </row>
    <row r="992" spans="2:6" x14ac:dyDescent="0.55000000000000004">
      <c r="B992" s="1">
        <v>980</v>
      </c>
      <c r="C992" s="6">
        <f t="shared" si="30"/>
        <v>-13.967552477262421</v>
      </c>
      <c r="D992" s="6">
        <f t="shared" si="31"/>
        <v>-28.016200274036457</v>
      </c>
      <c r="E992" s="18"/>
      <c r="F992" s="18"/>
    </row>
    <row r="993" spans="2:6" x14ac:dyDescent="0.55000000000000004">
      <c r="B993" s="1">
        <v>981</v>
      </c>
      <c r="C993" s="6">
        <f t="shared" si="30"/>
        <v>-8.6304277279797326</v>
      </c>
      <c r="D993" s="6">
        <f t="shared" si="31"/>
        <v>30.108399446535156</v>
      </c>
      <c r="E993" s="18"/>
      <c r="F993" s="18"/>
    </row>
    <row r="994" spans="2:6" x14ac:dyDescent="0.55000000000000004">
      <c r="B994" s="1">
        <v>982</v>
      </c>
      <c r="C994" s="6">
        <f t="shared" si="30"/>
        <v>26.715670218756273</v>
      </c>
      <c r="D994" s="6">
        <f t="shared" si="31"/>
        <v>-16.379040410312783</v>
      </c>
      <c r="E994" s="18"/>
      <c r="F994" s="18"/>
    </row>
    <row r="995" spans="2:6" x14ac:dyDescent="0.55000000000000004">
      <c r="B995" s="1">
        <v>983</v>
      </c>
      <c r="C995" s="6">
        <f t="shared" si="30"/>
        <v>-30.778728083916121</v>
      </c>
      <c r="D995" s="6">
        <f t="shared" si="31"/>
        <v>-5.9724281106056898</v>
      </c>
      <c r="E995" s="18"/>
      <c r="F995" s="18"/>
    </row>
    <row r="996" spans="2:6" x14ac:dyDescent="0.55000000000000004">
      <c r="B996" s="1">
        <v>984</v>
      </c>
      <c r="C996" s="6">
        <f t="shared" si="30"/>
        <v>18.669950041960572</v>
      </c>
      <c r="D996" s="6">
        <f t="shared" si="31"/>
        <v>25.207795727328016</v>
      </c>
      <c r="E996" s="18"/>
      <c r="F996" s="18"/>
    </row>
    <row r="997" spans="2:6" x14ac:dyDescent="0.55000000000000004">
      <c r="B997" s="1">
        <v>985</v>
      </c>
      <c r="C997" s="6">
        <f t="shared" si="30"/>
        <v>3.2632549393962567</v>
      </c>
      <c r="D997" s="6">
        <f t="shared" si="31"/>
        <v>-31.214598623088296</v>
      </c>
      <c r="E997" s="18"/>
      <c r="F997" s="18"/>
    </row>
    <row r="998" spans="2:6" x14ac:dyDescent="0.55000000000000004">
      <c r="B998" s="1">
        <v>986</v>
      </c>
      <c r="C998" s="6">
        <f t="shared" si="30"/>
        <v>-23.50371424615177</v>
      </c>
      <c r="D998" s="6">
        <f t="shared" si="31"/>
        <v>20.82247383562391</v>
      </c>
      <c r="E998" s="18"/>
      <c r="F998" s="18"/>
    </row>
    <row r="999" spans="2:6" x14ac:dyDescent="0.55000000000000004">
      <c r="B999" s="1">
        <v>987</v>
      </c>
      <c r="C999" s="6">
        <f t="shared" si="30"/>
        <v>31.412193040818188</v>
      </c>
      <c r="D999" s="6">
        <f t="shared" si="31"/>
        <v>0.52357269444977483</v>
      </c>
      <c r="E999" s="18"/>
      <c r="F999" s="18"/>
    </row>
    <row r="1000" spans="2:6" x14ac:dyDescent="0.55000000000000004">
      <c r="B1000" s="1">
        <v>988</v>
      </c>
      <c r="C1000" s="6">
        <f t="shared" si="30"/>
        <v>-22.81982955332148</v>
      </c>
      <c r="D1000" s="6">
        <f t="shared" si="31"/>
        <v>-21.616090746417488</v>
      </c>
      <c r="E1000" s="18"/>
      <c r="F1000" s="18"/>
    </row>
    <row r="1001" spans="2:6" x14ac:dyDescent="0.55000000000000004">
      <c r="B1001" s="1">
        <v>989</v>
      </c>
      <c r="C1001" s="6">
        <f t="shared" si="30"/>
        <v>2.2256782494805192</v>
      </c>
      <c r="D1001" s="6">
        <f t="shared" si="31"/>
        <v>31.369513166923536</v>
      </c>
      <c r="E1001" s="18"/>
      <c r="F1001" s="18"/>
    </row>
    <row r="1002" spans="2:6" x14ac:dyDescent="0.55000000000000004">
      <c r="B1002" s="1">
        <v>990</v>
      </c>
      <c r="C1002" s="6">
        <f t="shared" si="30"/>
        <v>19.559023619025531</v>
      </c>
      <c r="D1002" s="6">
        <f t="shared" si="31"/>
        <v>-24.646391116559062</v>
      </c>
      <c r="E1002" s="18"/>
      <c r="F1002" s="18"/>
    </row>
    <row r="1003" spans="2:6" x14ac:dyDescent="0.55000000000000004">
      <c r="B1003" s="1">
        <v>991</v>
      </c>
      <c r="C1003" s="6">
        <f t="shared" si="30"/>
        <v>-31.086399692749623</v>
      </c>
      <c r="D1003" s="6">
        <f t="shared" si="31"/>
        <v>4.9634417637981896</v>
      </c>
      <c r="E1003" s="18"/>
      <c r="F1003" s="18"/>
    </row>
    <row r="1004" spans="2:6" x14ac:dyDescent="0.55000000000000004">
      <c r="B1004" s="1">
        <v>992</v>
      </c>
      <c r="C1004" s="6">
        <f t="shared" si="30"/>
        <v>26.287810853483947</v>
      </c>
      <c r="D1004" s="6">
        <f t="shared" si="31"/>
        <v>17.347939374215361</v>
      </c>
      <c r="E1004" s="18"/>
      <c r="F1004" s="18"/>
    </row>
    <row r="1005" spans="2:6" x14ac:dyDescent="0.55000000000000004">
      <c r="B1005" s="1">
        <v>993</v>
      </c>
      <c r="C1005" s="6">
        <f t="shared" si="30"/>
        <v>-7.6687073175513749</v>
      </c>
      <c r="D1005" s="6">
        <f t="shared" si="31"/>
        <v>-30.564537099025955</v>
      </c>
      <c r="E1005" s="18"/>
      <c r="F1005" s="18"/>
    </row>
    <row r="1006" spans="2:6" x14ac:dyDescent="0.55000000000000004">
      <c r="B1006" s="1">
        <v>994</v>
      </c>
      <c r="C1006" s="6">
        <f t="shared" si="30"/>
        <v>-14.99947693277125</v>
      </c>
      <c r="D1006" s="6">
        <f t="shared" si="31"/>
        <v>27.73113217564806</v>
      </c>
      <c r="E1006" s="18"/>
      <c r="F1006" s="18"/>
    </row>
    <row r="1007" spans="2:6" x14ac:dyDescent="0.55000000000000004">
      <c r="B1007" s="1">
        <v>995</v>
      </c>
      <c r="C1007" s="6">
        <f t="shared" si="30"/>
        <v>29.807444437099601</v>
      </c>
      <c r="D1007" s="6">
        <f t="shared" si="31"/>
        <v>-10.32067130225647</v>
      </c>
      <c r="E1007" s="18"/>
      <c r="F1007" s="18"/>
    </row>
    <row r="1008" spans="2:6" x14ac:dyDescent="0.55000000000000004">
      <c r="B1008" s="1">
        <v>996</v>
      </c>
      <c r="C1008" s="6">
        <f t="shared" si="30"/>
        <v>-28.964891800062905</v>
      </c>
      <c r="D1008" s="6">
        <f t="shared" si="31"/>
        <v>-12.531362376479608</v>
      </c>
      <c r="E1008" s="18"/>
      <c r="F1008" s="18"/>
    </row>
    <row r="1009" spans="2:6" x14ac:dyDescent="0.55000000000000004">
      <c r="B1009" s="1">
        <v>997</v>
      </c>
      <c r="C1009" s="6">
        <f t="shared" si="30"/>
        <v>12.898897090678926</v>
      </c>
      <c r="D1009" s="6">
        <f t="shared" si="31"/>
        <v>28.820452006241588</v>
      </c>
      <c r="E1009" s="18"/>
      <c r="F1009" s="18"/>
    </row>
    <row r="1010" spans="2:6" x14ac:dyDescent="0.55000000000000004">
      <c r="B1010" s="1">
        <v>998</v>
      </c>
      <c r="C1010" s="6">
        <f t="shared" si="30"/>
        <v>9.9622751015300306</v>
      </c>
      <c r="D1010" s="6">
        <f t="shared" si="31"/>
        <v>-29.979210710114348</v>
      </c>
      <c r="E1010" s="18"/>
      <c r="F1010" s="18"/>
    </row>
    <row r="1011" spans="2:6" x14ac:dyDescent="0.55000000000000004">
      <c r="B1011" s="1">
        <v>999</v>
      </c>
      <c r="C1011" s="6">
        <f t="shared" si="30"/>
        <v>-27.610664078001808</v>
      </c>
      <c r="D1011" s="6">
        <f t="shared" si="31"/>
        <v>15.383472597945511</v>
      </c>
      <c r="E1011" s="18"/>
      <c r="F1011" s="18"/>
    </row>
    <row r="1012" spans="2:6" ht="18.5" thickBot="1" x14ac:dyDescent="0.6">
      <c r="B1012" s="2">
        <v>1000</v>
      </c>
      <c r="C1012" s="6">
        <f t="shared" si="30"/>
        <v>30.765873134613987</v>
      </c>
      <c r="D1012" s="6">
        <f t="shared" si="31"/>
        <v>7.3117063853000444</v>
      </c>
      <c r="E1012" s="18"/>
      <c r="F1012" s="18"/>
    </row>
    <row r="1013" spans="2:6" x14ac:dyDescent="0.55000000000000004">
      <c r="C1013" s="6">
        <f>C1012</f>
        <v>30.765873134613987</v>
      </c>
      <c r="D1013" s="6">
        <f>C1013</f>
        <v>30.765873134613987</v>
      </c>
      <c r="E1013" s="18"/>
      <c r="F1013" s="18"/>
    </row>
    <row r="1014" spans="2:6" x14ac:dyDescent="0.55000000000000004">
      <c r="C1014" s="6">
        <f>-C1013</f>
        <v>-30.765873134613987</v>
      </c>
      <c r="D1014" s="6">
        <f>D1013</f>
        <v>30.765873134613987</v>
      </c>
      <c r="E1014" s="18"/>
      <c r="F1014" s="18"/>
    </row>
    <row r="1015" spans="2:6" x14ac:dyDescent="0.55000000000000004">
      <c r="C1015" s="6">
        <f>C1014</f>
        <v>-30.765873134613987</v>
      </c>
      <c r="D1015" s="6">
        <f>-D1014</f>
        <v>-30.765873134613987</v>
      </c>
      <c r="E1015" s="28"/>
      <c r="F1015" s="28"/>
    </row>
    <row r="1016" spans="2:6" ht="18.5" thickBot="1" x14ac:dyDescent="0.6">
      <c r="C1016" s="7">
        <f>C1013</f>
        <v>30.765873134613987</v>
      </c>
      <c r="D1016" s="7">
        <f>D1015</f>
        <v>-30.765873134613987</v>
      </c>
      <c r="E1016" s="28"/>
      <c r="F1016" s="28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3FE0-27D8-4F9D-A942-48AE13CC8A20}">
  <sheetPr>
    <tabColor rgb="FFFF0000"/>
  </sheetPr>
  <dimension ref="B7:F1016"/>
  <sheetViews>
    <sheetView workbookViewId="0">
      <selection activeCell="B8" sqref="B8"/>
    </sheetView>
  </sheetViews>
  <sheetFormatPr defaultRowHeight="18" x14ac:dyDescent="0.55000000000000004"/>
  <cols>
    <col min="2" max="2" width="12.58203125" customWidth="1"/>
  </cols>
  <sheetData>
    <row r="7" spans="2:6" ht="18.5" thickBot="1" x14ac:dyDescent="0.6"/>
    <row r="8" spans="2:6" ht="18.5" thickBot="1" x14ac:dyDescent="0.6">
      <c r="B8" s="15" t="s">
        <v>7</v>
      </c>
      <c r="C8" s="5">
        <f>(E8^(E9+1)-(-1/E8)^(E9+1))/(E8^(E9)-(-1/E8)^(E9))</f>
        <v>1.6180257510729619</v>
      </c>
      <c r="D8" s="15" t="s">
        <v>4</v>
      </c>
      <c r="E8" s="16">
        <f>(1+SQRT(5))/2</f>
        <v>1.6180339887498949</v>
      </c>
    </row>
    <row r="9" spans="2:6" ht="18.5" thickBot="1" x14ac:dyDescent="0.6">
      <c r="B9" s="17" t="s">
        <v>14</v>
      </c>
      <c r="C9" s="3">
        <v>0.5</v>
      </c>
      <c r="D9" s="15" t="s">
        <v>0</v>
      </c>
      <c r="E9" s="4">
        <v>13</v>
      </c>
    </row>
    <row r="10" spans="2:6" ht="18.5" thickBot="1" x14ac:dyDescent="0.6"/>
    <row r="11" spans="2:6" ht="18.5" thickBot="1" x14ac:dyDescent="0.6">
      <c r="B11" s="13" t="s">
        <v>0</v>
      </c>
      <c r="C11" s="8" t="s">
        <v>5</v>
      </c>
      <c r="D11" s="8" t="s">
        <v>6</v>
      </c>
      <c r="E11" s="27"/>
      <c r="F11" s="27"/>
    </row>
    <row r="12" spans="2:6" x14ac:dyDescent="0.55000000000000004">
      <c r="B12" s="1">
        <v>0</v>
      </c>
      <c r="C12" s="6">
        <f>B12^$C$9*COS(2*PI()*B12/$C$8)</f>
        <v>0</v>
      </c>
      <c r="D12" s="6">
        <f>B12^$C$9*SIN(2*PI()*B12/$C$8)</f>
        <v>0</v>
      </c>
      <c r="E12" s="18"/>
      <c r="F12" s="18"/>
    </row>
    <row r="13" spans="2:6" x14ac:dyDescent="0.55000000000000004">
      <c r="B13" s="1">
        <v>1</v>
      </c>
      <c r="C13" s="6">
        <f t="shared" ref="C13:C76" si="0">B13^$C$9*COS(2*PI()*B13/$C$8)</f>
        <v>-0.73735552334087584</v>
      </c>
      <c r="D13" s="6">
        <f t="shared" ref="D13:D76" si="1">B13^$C$9*SIN(2*PI()*B13/$C$8)</f>
        <v>-0.67550487207621468</v>
      </c>
      <c r="E13" s="18"/>
      <c r="F13" s="18"/>
    </row>
    <row r="14" spans="2:6" x14ac:dyDescent="0.55000000000000004">
      <c r="B14" s="1">
        <v>2</v>
      </c>
      <c r="C14" s="6">
        <f t="shared" si="0"/>
        <v>0.12358294097527481</v>
      </c>
      <c r="D14" s="6">
        <f t="shared" si="1"/>
        <v>1.4088034840601091</v>
      </c>
      <c r="E14" s="18"/>
      <c r="F14" s="18"/>
    </row>
    <row r="15" spans="2:6" x14ac:dyDescent="0.55000000000000004">
      <c r="B15" s="1">
        <v>3</v>
      </c>
      <c r="C15" s="6">
        <f t="shared" si="0"/>
        <v>1.0539285445432787</v>
      </c>
      <c r="D15" s="6">
        <f t="shared" si="1"/>
        <v>-1.3744943153745257</v>
      </c>
      <c r="E15" s="18"/>
      <c r="F15" s="18"/>
    </row>
    <row r="16" spans="2:6" x14ac:dyDescent="0.55000000000000004">
      <c r="B16" s="1">
        <v>4</v>
      </c>
      <c r="C16" s="6">
        <f t="shared" si="0"/>
        <v>-1.9694545133998036</v>
      </c>
      <c r="D16" s="6">
        <f t="shared" si="1"/>
        <v>0.34820815563272389</v>
      </c>
      <c r="E16" s="18"/>
      <c r="F16" s="18"/>
    </row>
    <row r="17" spans="2:6" x14ac:dyDescent="0.55000000000000004">
      <c r="B17" s="1">
        <v>5</v>
      </c>
      <c r="C17" s="6">
        <f t="shared" si="0"/>
        <v>1.8865755491669742</v>
      </c>
      <c r="D17" s="6">
        <f t="shared" si="1"/>
        <v>1.2003469070586763</v>
      </c>
      <c r="E17" s="18"/>
      <c r="F17" s="18"/>
    </row>
    <row r="18" spans="2:6" x14ac:dyDescent="0.55000000000000004">
      <c r="B18" s="1">
        <v>6</v>
      </c>
      <c r="C18" s="6">
        <f t="shared" si="0"/>
        <v>-0.63561747771129995</v>
      </c>
      <c r="D18" s="6">
        <f t="shared" si="1"/>
        <v>-2.3655845835708185</v>
      </c>
      <c r="E18" s="18"/>
      <c r="F18" s="18"/>
    </row>
    <row r="19" spans="2:6" x14ac:dyDescent="0.55000000000000004">
      <c r="B19" s="1">
        <v>7</v>
      </c>
      <c r="C19" s="6">
        <f t="shared" si="0"/>
        <v>-1.2197702921609488</v>
      </c>
      <c r="D19" s="6">
        <f t="shared" si="1"/>
        <v>2.3477990617515792</v>
      </c>
      <c r="E19" s="18"/>
      <c r="F19" s="18"/>
    </row>
    <row r="20" spans="2:6" x14ac:dyDescent="0.55000000000000004">
      <c r="B20" s="1">
        <v>8</v>
      </c>
      <c r="C20" s="6">
        <f t="shared" si="0"/>
        <v>2.656955258155286</v>
      </c>
      <c r="D20" s="6">
        <f t="shared" si="1"/>
        <v>-0.96983955176151548</v>
      </c>
      <c r="E20" s="18"/>
      <c r="F20" s="18"/>
    </row>
    <row r="21" spans="2:6" x14ac:dyDescent="0.55000000000000004">
      <c r="B21" s="1">
        <v>9</v>
      </c>
      <c r="C21" s="6">
        <f t="shared" si="0"/>
        <v>-2.7728329512312522</v>
      </c>
      <c r="D21" s="6">
        <f t="shared" si="1"/>
        <v>-1.1451626192668818</v>
      </c>
      <c r="E21" s="18"/>
      <c r="F21" s="18"/>
    </row>
    <row r="22" spans="2:6" x14ac:dyDescent="0.55000000000000004">
      <c r="B22" s="1">
        <v>10</v>
      </c>
      <c r="C22" s="6">
        <f t="shared" si="0"/>
        <v>1.3397524399021596</v>
      </c>
      <c r="D22" s="6">
        <f t="shared" si="1"/>
        <v>2.8644481841667533</v>
      </c>
      <c r="E22" s="18"/>
      <c r="F22" s="18"/>
    </row>
    <row r="23" spans="2:6" x14ac:dyDescent="0.55000000000000004">
      <c r="B23" s="1">
        <v>11</v>
      </c>
      <c r="C23" s="6">
        <f t="shared" si="0"/>
        <v>0.99330047494844265</v>
      </c>
      <c r="D23" s="6">
        <f t="shared" si="1"/>
        <v>-3.1643884348270515</v>
      </c>
      <c r="E23" s="18"/>
      <c r="F23" s="18"/>
    </row>
    <row r="24" spans="2:6" x14ac:dyDescent="0.55000000000000004">
      <c r="B24" s="1">
        <v>12</v>
      </c>
      <c r="C24" s="6">
        <f t="shared" si="0"/>
        <v>-2.9975915379430251</v>
      </c>
      <c r="D24" s="6">
        <f t="shared" si="1"/>
        <v>1.7362157042407971</v>
      </c>
      <c r="E24" s="18"/>
      <c r="F24" s="18"/>
    </row>
    <row r="25" spans="2:6" x14ac:dyDescent="0.55000000000000004">
      <c r="B25" s="1">
        <v>13</v>
      </c>
      <c r="C25" s="6">
        <f t="shared" si="0"/>
        <v>3.5212554902848647</v>
      </c>
      <c r="D25" s="6">
        <f t="shared" si="1"/>
        <v>0.77508694488985952</v>
      </c>
      <c r="E25" s="18"/>
      <c r="F25" s="18"/>
    </row>
    <row r="26" spans="2:6" x14ac:dyDescent="0.55000000000000004">
      <c r="B26" s="1">
        <v>14</v>
      </c>
      <c r="C26" s="6">
        <f t="shared" si="0"/>
        <v>-2.1510899864580915</v>
      </c>
      <c r="D26" s="6">
        <f t="shared" si="1"/>
        <v>-3.0615048375202232</v>
      </c>
      <c r="E26" s="18"/>
      <c r="F26" s="18"/>
    </row>
    <row r="27" spans="2:6" x14ac:dyDescent="0.55000000000000004">
      <c r="B27" s="1">
        <v>15</v>
      </c>
      <c r="C27" s="6">
        <f t="shared" si="0"/>
        <v>-0.49885876202730806</v>
      </c>
      <c r="D27" s="6">
        <f t="shared" si="1"/>
        <v>3.8407212780347111</v>
      </c>
      <c r="E27" s="18"/>
      <c r="F27" s="18"/>
    </row>
    <row r="28" spans="2:6" x14ac:dyDescent="0.55000000000000004">
      <c r="B28" s="1">
        <v>16</v>
      </c>
      <c r="C28" s="6">
        <f t="shared" si="0"/>
        <v>3.0594112438390226</v>
      </c>
      <c r="D28" s="6">
        <f t="shared" si="1"/>
        <v>-2.576820296619724</v>
      </c>
      <c r="E28" s="18"/>
      <c r="F28" s="18"/>
    </row>
    <row r="29" spans="2:6" x14ac:dyDescent="0.55000000000000004">
      <c r="B29" s="1">
        <v>17</v>
      </c>
      <c r="C29" s="6">
        <f t="shared" si="0"/>
        <v>-4.1195272272358787</v>
      </c>
      <c r="D29" s="6">
        <f t="shared" si="1"/>
        <v>-0.17174231878680726</v>
      </c>
      <c r="E29" s="18"/>
      <c r="F29" s="18"/>
    </row>
    <row r="30" spans="2:6" x14ac:dyDescent="0.55000000000000004">
      <c r="B30" s="1">
        <v>18</v>
      </c>
      <c r="C30" s="6">
        <f t="shared" si="0"/>
        <v>3.006243338130854</v>
      </c>
      <c r="D30" s="6">
        <f t="shared" si="1"/>
        <v>2.9937436416540177</v>
      </c>
      <c r="E30" s="18"/>
      <c r="F30" s="18"/>
    </row>
    <row r="31" spans="2:6" x14ac:dyDescent="0.55000000000000004">
      <c r="B31" s="1">
        <v>19</v>
      </c>
      <c r="C31" s="6">
        <f t="shared" si="0"/>
        <v>-0.19970822681545161</v>
      </c>
      <c r="D31" s="6">
        <f t="shared" si="1"/>
        <v>-4.3543216032055128</v>
      </c>
      <c r="E31" s="18"/>
      <c r="F31" s="18"/>
    </row>
    <row r="32" spans="2:6" x14ac:dyDescent="0.55000000000000004">
      <c r="B32" s="1">
        <v>20</v>
      </c>
      <c r="C32" s="6">
        <f t="shared" si="0"/>
        <v>-2.8666958536384768</v>
      </c>
      <c r="D32" s="6">
        <f t="shared" si="1"/>
        <v>3.4324998008349499</v>
      </c>
      <c r="E32" s="18"/>
      <c r="F32" s="18"/>
    </row>
    <row r="33" spans="2:6" x14ac:dyDescent="0.55000000000000004">
      <c r="B33" s="1">
        <v>21</v>
      </c>
      <c r="C33" s="6">
        <f t="shared" si="0"/>
        <v>4.5419039132678956</v>
      </c>
      <c r="D33" s="6">
        <f t="shared" si="1"/>
        <v>-0.60918703420360087</v>
      </c>
      <c r="E33" s="18"/>
      <c r="F33" s="18"/>
    </row>
    <row r="34" spans="2:6" x14ac:dyDescent="0.55000000000000004">
      <c r="B34" s="1">
        <v>22</v>
      </c>
      <c r="C34" s="6">
        <f t="shared" si="0"/>
        <v>-3.849001365829543</v>
      </c>
      <c r="D34" s="6">
        <f t="shared" si="1"/>
        <v>-2.6805201894114346</v>
      </c>
      <c r="E34" s="18"/>
      <c r="F34" s="18"/>
    </row>
    <row r="35" spans="2:6" x14ac:dyDescent="0.55000000000000004">
      <c r="B35" s="1">
        <v>23</v>
      </c>
      <c r="C35" s="6">
        <f t="shared" si="0"/>
        <v>1.0504679971672488</v>
      </c>
      <c r="D35" s="6">
        <f t="shared" si="1"/>
        <v>4.6793714307508676</v>
      </c>
      <c r="E35" s="18"/>
      <c r="F35" s="18"/>
    </row>
    <row r="36" spans="2:6" x14ac:dyDescent="0.55000000000000004">
      <c r="B36" s="1">
        <v>24</v>
      </c>
      <c r="C36" s="6">
        <f t="shared" si="0"/>
        <v>2.4376954728174218</v>
      </c>
      <c r="D36" s="6">
        <f t="shared" si="1"/>
        <v>-4.2494282888178549</v>
      </c>
      <c r="E36" s="18"/>
      <c r="F36" s="18"/>
    </row>
    <row r="37" spans="2:6" x14ac:dyDescent="0.55000000000000004">
      <c r="B37" s="1">
        <v>25</v>
      </c>
      <c r="C37" s="6">
        <f t="shared" si="0"/>
        <v>-4.7642144118922465</v>
      </c>
      <c r="D37" s="6">
        <f t="shared" si="1"/>
        <v>1.5173203476913557</v>
      </c>
      <c r="E37" s="18"/>
      <c r="F37" s="18"/>
    </row>
    <row r="38" spans="2:6" x14ac:dyDescent="0.55000000000000004">
      <c r="B38" s="1">
        <v>26</v>
      </c>
      <c r="C38" s="6">
        <f t="shared" si="0"/>
        <v>4.6277447749594351</v>
      </c>
      <c r="D38" s="6">
        <f t="shared" si="1"/>
        <v>2.1410227224005909</v>
      </c>
      <c r="E38" s="18"/>
      <c r="F38" s="18"/>
    </row>
    <row r="39" spans="2:6" x14ac:dyDescent="0.55000000000000004">
      <c r="B39" s="1">
        <v>27</v>
      </c>
      <c r="C39" s="6">
        <f t="shared" si="0"/>
        <v>-2.0034732914302684</v>
      </c>
      <c r="D39" s="6">
        <f t="shared" si="1"/>
        <v>-4.7943815837421164</v>
      </c>
      <c r="E39" s="18"/>
      <c r="F39" s="18"/>
    </row>
    <row r="40" spans="2:6" x14ac:dyDescent="0.55000000000000004">
      <c r="B40" s="1">
        <v>28</v>
      </c>
      <c r="C40" s="6">
        <f t="shared" si="0"/>
        <v>-1.7936771761099206</v>
      </c>
      <c r="D40" s="6">
        <f t="shared" si="1"/>
        <v>4.9782248028692262</v>
      </c>
      <c r="E40" s="18"/>
      <c r="F40" s="18"/>
    </row>
    <row r="41" spans="2:6" x14ac:dyDescent="0.55000000000000004">
      <c r="B41" s="1">
        <v>29</v>
      </c>
      <c r="C41" s="6">
        <f t="shared" si="0"/>
        <v>4.7683266276127583</v>
      </c>
      <c r="D41" s="6">
        <f t="shared" si="1"/>
        <v>-2.5026108711501958</v>
      </c>
      <c r="E41" s="18"/>
      <c r="F41" s="18"/>
    </row>
    <row r="42" spans="2:6" x14ac:dyDescent="0.55000000000000004">
      <c r="B42" s="1">
        <v>30</v>
      </c>
      <c r="C42" s="6">
        <f t="shared" si="0"/>
        <v>-5.295483880435353</v>
      </c>
      <c r="D42" s="6">
        <f t="shared" si="1"/>
        <v>-1.3992321008500839</v>
      </c>
      <c r="E42" s="18"/>
      <c r="F42" s="18"/>
    </row>
    <row r="43" spans="2:6" x14ac:dyDescent="0.55000000000000004">
      <c r="B43" s="1">
        <v>31</v>
      </c>
      <c r="C43" s="6">
        <f t="shared" si="0"/>
        <v>3.0083862973307935</v>
      </c>
      <c r="D43" s="6">
        <f t="shared" si="1"/>
        <v>4.6850412896827613</v>
      </c>
      <c r="E43" s="18"/>
      <c r="F43" s="18"/>
    </row>
    <row r="44" spans="2:6" x14ac:dyDescent="0.55000000000000004">
      <c r="B44" s="1">
        <v>32</v>
      </c>
      <c r="C44" s="6">
        <f t="shared" si="0"/>
        <v>0.96166321347287798</v>
      </c>
      <c r="D44" s="6">
        <f t="shared" si="1"/>
        <v>-5.5745137782458682</v>
      </c>
      <c r="E44" s="18"/>
      <c r="F44" s="18"/>
    </row>
    <row r="45" spans="2:6" x14ac:dyDescent="0.55000000000000004">
      <c r="B45" s="1">
        <v>33</v>
      </c>
      <c r="C45" s="6">
        <f t="shared" si="0"/>
        <v>-4.5440782127867827</v>
      </c>
      <c r="D45" s="6">
        <f t="shared" si="1"/>
        <v>3.5144492023753133</v>
      </c>
      <c r="E45" s="18"/>
      <c r="F45" s="18"/>
    </row>
    <row r="46" spans="2:6" x14ac:dyDescent="0.55000000000000004">
      <c r="B46" s="1">
        <v>34</v>
      </c>
      <c r="C46" s="6">
        <f t="shared" si="0"/>
        <v>5.8107182008658711</v>
      </c>
      <c r="D46" s="6">
        <f t="shared" si="1"/>
        <v>0.4853390465706437</v>
      </c>
      <c r="E46" s="18"/>
      <c r="F46" s="18"/>
    </row>
    <row r="47" spans="2:6" x14ac:dyDescent="0.55000000000000004">
      <c r="B47" s="1">
        <v>35</v>
      </c>
      <c r="C47" s="6">
        <f t="shared" si="0"/>
        <v>-4.0144816062813726</v>
      </c>
      <c r="D47" s="6">
        <f t="shared" si="1"/>
        <v>-4.3455652604498454</v>
      </c>
      <c r="E47" s="18"/>
      <c r="F47" s="18"/>
    </row>
    <row r="48" spans="2:6" x14ac:dyDescent="0.55000000000000004">
      <c r="B48" s="1">
        <v>36</v>
      </c>
      <c r="C48" s="6">
        <f t="shared" si="0"/>
        <v>2.4999338704093273E-2</v>
      </c>
      <c r="D48" s="6">
        <f t="shared" si="1"/>
        <v>5.9999479191959963</v>
      </c>
      <c r="E48" s="18"/>
      <c r="F48" s="18"/>
    </row>
    <row r="49" spans="2:6" x14ac:dyDescent="0.55000000000000004">
      <c r="B49" s="1">
        <v>37</v>
      </c>
      <c r="C49" s="6">
        <f t="shared" si="0"/>
        <v>4.0902123925022416</v>
      </c>
      <c r="D49" s="6">
        <f t="shared" si="1"/>
        <v>-4.5022397297590775</v>
      </c>
      <c r="E49" s="18"/>
      <c r="F49" s="18"/>
    </row>
    <row r="50" spans="2:6" x14ac:dyDescent="0.55000000000000004">
      <c r="B50" s="1">
        <v>38</v>
      </c>
      <c r="C50" s="6">
        <f t="shared" si="0"/>
        <v>-6.1385342513244163</v>
      </c>
      <c r="D50" s="6">
        <f t="shared" si="1"/>
        <v>0.56426699825259208</v>
      </c>
      <c r="E50" s="18"/>
      <c r="F50" s="18"/>
    </row>
    <row r="51" spans="2:6" x14ac:dyDescent="0.55000000000000004">
      <c r="B51" s="1">
        <v>39</v>
      </c>
      <c r="C51" s="6">
        <f t="shared" si="0"/>
        <v>4.9715996018708433</v>
      </c>
      <c r="D51" s="6">
        <f t="shared" si="1"/>
        <v>3.7793117625670525</v>
      </c>
      <c r="E51" s="18"/>
      <c r="F51" s="18"/>
    </row>
    <row r="52" spans="2:6" x14ac:dyDescent="0.55000000000000004">
      <c r="B52" s="1">
        <v>40</v>
      </c>
      <c r="C52" s="6">
        <f t="shared" si="0"/>
        <v>-1.1270704689714564</v>
      </c>
      <c r="D52" s="6">
        <f t="shared" si="1"/>
        <v>-6.2233200269608879</v>
      </c>
      <c r="E52" s="18"/>
      <c r="F52" s="18"/>
    </row>
    <row r="53" spans="2:6" x14ac:dyDescent="0.55000000000000004">
      <c r="B53" s="1">
        <v>41</v>
      </c>
      <c r="C53" s="6">
        <f t="shared" si="0"/>
        <v>-3.4147314960002313</v>
      </c>
      <c r="D53" s="6">
        <f t="shared" si="1"/>
        <v>5.4166049154635623</v>
      </c>
      <c r="E53" s="18"/>
      <c r="F53" s="18"/>
    </row>
    <row r="54" spans="2:6" x14ac:dyDescent="0.55000000000000004">
      <c r="B54" s="1">
        <v>42</v>
      </c>
      <c r="C54" s="6">
        <f t="shared" si="0"/>
        <v>6.2516873479271347</v>
      </c>
      <c r="D54" s="6">
        <f t="shared" si="1"/>
        <v>-1.7077486067240069</v>
      </c>
      <c r="E54" s="18"/>
      <c r="F54" s="18"/>
    </row>
    <row r="55" spans="2:6" x14ac:dyDescent="0.55000000000000004">
      <c r="B55" s="1">
        <v>43</v>
      </c>
      <c r="C55" s="6">
        <f t="shared" si="0"/>
        <v>-5.8315159111663997</v>
      </c>
      <c r="D55" s="6">
        <f t="shared" si="1"/>
        <v>-2.9989034959153176</v>
      </c>
      <c r="E55" s="18"/>
      <c r="F55" s="18"/>
    </row>
    <row r="56" spans="2:6" x14ac:dyDescent="0.55000000000000004">
      <c r="B56" s="1">
        <v>44</v>
      </c>
      <c r="C56" s="6">
        <f t="shared" si="0"/>
        <v>2.3004178978888365</v>
      </c>
      <c r="D56" s="6">
        <f t="shared" si="1"/>
        <v>6.2215815911287944</v>
      </c>
      <c r="E56" s="18"/>
      <c r="F56" s="18"/>
    </row>
    <row r="57" spans="2:6" x14ac:dyDescent="0.55000000000000004">
      <c r="B57" s="1">
        <v>45</v>
      </c>
      <c r="C57" s="6">
        <f t="shared" si="0"/>
        <v>2.5348055727488341</v>
      </c>
      <c r="D57" s="6">
        <f t="shared" si="1"/>
        <v>-6.2108582907969696</v>
      </c>
      <c r="E57" s="18"/>
      <c r="F57" s="18"/>
    </row>
    <row r="58" spans="2:6" x14ac:dyDescent="0.55000000000000004">
      <c r="B58" s="1">
        <v>46</v>
      </c>
      <c r="C58" s="6">
        <f t="shared" si="0"/>
        <v>-6.1315312070007888</v>
      </c>
      <c r="D58" s="6">
        <f t="shared" si="1"/>
        <v>2.8990213965363294</v>
      </c>
      <c r="E58" s="18"/>
      <c r="F58" s="18"/>
    </row>
    <row r="59" spans="2:6" x14ac:dyDescent="0.55000000000000004">
      <c r="B59" s="1">
        <v>47</v>
      </c>
      <c r="C59" s="6">
        <f t="shared" si="0"/>
        <v>6.5494713152116883</v>
      </c>
      <c r="D59" s="6">
        <f t="shared" si="1"/>
        <v>2.0259381755668859</v>
      </c>
      <c r="E59" s="18"/>
      <c r="F59" s="18"/>
    </row>
    <row r="60" spans="2:6" x14ac:dyDescent="0.55000000000000004">
      <c r="B60" s="1">
        <v>48</v>
      </c>
      <c r="C60" s="6">
        <f t="shared" si="0"/>
        <v>-3.4973805360294294</v>
      </c>
      <c r="D60" s="6">
        <f t="shared" si="1"/>
        <v>-5.9806629554090822</v>
      </c>
      <c r="E60" s="18"/>
      <c r="F60" s="18"/>
    </row>
    <row r="61" spans="2:6" x14ac:dyDescent="0.55000000000000004">
      <c r="B61" s="1">
        <v>49</v>
      </c>
      <c r="C61" s="6">
        <f t="shared" si="0"/>
        <v>-1.4762960069375863</v>
      </c>
      <c r="D61" s="6">
        <f t="shared" si="1"/>
        <v>6.8425543549101704</v>
      </c>
      <c r="E61" s="18"/>
      <c r="F61" s="18"/>
    </row>
    <row r="62" spans="2:6" x14ac:dyDescent="0.55000000000000004">
      <c r="B62" s="1">
        <v>50</v>
      </c>
      <c r="C62" s="6">
        <f t="shared" si="0"/>
        <v>5.7687122985129093</v>
      </c>
      <c r="D62" s="6">
        <f t="shared" si="1"/>
        <v>-4.0892491263049635</v>
      </c>
      <c r="E62" s="18"/>
      <c r="F62" s="18"/>
    </row>
    <row r="63" spans="2:6" x14ac:dyDescent="0.55000000000000004">
      <c r="B63" s="1">
        <v>51</v>
      </c>
      <c r="C63" s="6">
        <f t="shared" si="0"/>
        <v>-7.0857112493896652</v>
      </c>
      <c r="D63" s="6">
        <f t="shared" si="1"/>
        <v>-0.89033481919599267</v>
      </c>
      <c r="E63" s="18"/>
      <c r="F63" s="18"/>
    </row>
    <row r="64" spans="2:6" x14ac:dyDescent="0.55000000000000004">
      <c r="B64" s="1">
        <v>52</v>
      </c>
      <c r="C64" s="6">
        <f t="shared" si="0"/>
        <v>4.6683688896263584</v>
      </c>
      <c r="D64" s="6">
        <f t="shared" si="1"/>
        <v>5.4960287399511252</v>
      </c>
      <c r="E64" s="18"/>
      <c r="F64" s="18"/>
    </row>
    <row r="65" spans="2:6" x14ac:dyDescent="0.55000000000000004">
      <c r="B65" s="1">
        <v>53</v>
      </c>
      <c r="C65" s="6">
        <f t="shared" si="0"/>
        <v>0.27293371294894619</v>
      </c>
      <c r="D65" s="6">
        <f t="shared" si="1"/>
        <v>-7.2749919029739063</v>
      </c>
      <c r="E65" s="18"/>
      <c r="F65" s="18"/>
    </row>
    <row r="66" spans="2:6" x14ac:dyDescent="0.55000000000000004">
      <c r="B66" s="1">
        <v>54</v>
      </c>
      <c r="C66" s="6">
        <f t="shared" si="0"/>
        <v>-5.1635759643270056</v>
      </c>
      <c r="D66" s="6">
        <f t="shared" si="1"/>
        <v>5.2285259166063662</v>
      </c>
      <c r="E66" s="18"/>
      <c r="F66" s="18"/>
    </row>
    <row r="67" spans="2:6" x14ac:dyDescent="0.55000000000000004">
      <c r="B67" s="1">
        <v>55</v>
      </c>
      <c r="C67" s="6">
        <f t="shared" si="0"/>
        <v>7.4069306067274168</v>
      </c>
      <c r="D67" s="6">
        <f t="shared" si="1"/>
        <v>-0.37064671470906457</v>
      </c>
      <c r="E67" s="18"/>
      <c r="F67" s="18"/>
    </row>
    <row r="68" spans="2:6" x14ac:dyDescent="0.55000000000000004">
      <c r="B68" s="1">
        <v>56</v>
      </c>
      <c r="C68" s="6">
        <f t="shared" si="0"/>
        <v>-5.7636074462708669</v>
      </c>
      <c r="D68" s="6">
        <f t="shared" si="1"/>
        <v>-4.772926691799384</v>
      </c>
      <c r="E68" s="18"/>
      <c r="F68" s="18"/>
    </row>
    <row r="69" spans="2:6" x14ac:dyDescent="0.55000000000000004">
      <c r="B69" s="1">
        <v>57</v>
      </c>
      <c r="C69" s="6">
        <f t="shared" si="0"/>
        <v>1.0348099969231772</v>
      </c>
      <c r="D69" s="6">
        <f t="shared" si="1"/>
        <v>7.4785806320630019</v>
      </c>
      <c r="E69" s="18"/>
      <c r="F69" s="18"/>
    </row>
    <row r="70" spans="2:6" x14ac:dyDescent="0.55000000000000004">
      <c r="B70" s="1">
        <v>58</v>
      </c>
      <c r="C70" s="6">
        <f t="shared" si="0"/>
        <v>4.3262522205440561</v>
      </c>
      <c r="D70" s="6">
        <f t="shared" si="1"/>
        <v>-6.2676583924331446</v>
      </c>
      <c r="E70" s="18"/>
      <c r="F70" s="18"/>
    </row>
    <row r="71" spans="2:6" x14ac:dyDescent="0.55000000000000004">
      <c r="B71" s="1">
        <v>59</v>
      </c>
      <c r="C71" s="6">
        <f t="shared" si="0"/>
        <v>-7.4875446942811985</v>
      </c>
      <c r="D71" s="6">
        <f t="shared" si="1"/>
        <v>1.7136727958223117</v>
      </c>
      <c r="E71" s="18"/>
      <c r="F71" s="18"/>
    </row>
    <row r="72" spans="2:6" x14ac:dyDescent="0.55000000000000004">
      <c r="B72" s="1">
        <v>60</v>
      </c>
      <c r="C72" s="6">
        <f t="shared" si="0"/>
        <v>6.7349370560666442</v>
      </c>
      <c r="D72" s="6">
        <f t="shared" si="1"/>
        <v>3.8263066854109282</v>
      </c>
      <c r="E72" s="18"/>
      <c r="F72" s="18"/>
    </row>
    <row r="73" spans="2:6" x14ac:dyDescent="0.55000000000000004">
      <c r="B73" s="1">
        <v>61</v>
      </c>
      <c r="C73" s="6">
        <f t="shared" si="0"/>
        <v>-2.4011168442144815</v>
      </c>
      <c r="D73" s="6">
        <f t="shared" si="1"/>
        <v>-7.4320009351741527</v>
      </c>
      <c r="E73" s="18"/>
      <c r="F73" s="18"/>
    </row>
    <row r="74" spans="2:6" x14ac:dyDescent="0.55000000000000004">
      <c r="B74" s="1">
        <v>62</v>
      </c>
      <c r="C74" s="6">
        <f t="shared" si="0"/>
        <v>-3.276406114512171</v>
      </c>
      <c r="D74" s="6">
        <f t="shared" si="1"/>
        <v>7.1599694812748513</v>
      </c>
      <c r="E74" s="18"/>
      <c r="F74" s="18"/>
    </row>
    <row r="75" spans="2:6" x14ac:dyDescent="0.55000000000000004">
      <c r="B75" s="1">
        <v>63</v>
      </c>
      <c r="C75" s="6">
        <f t="shared" si="0"/>
        <v>7.3107241239869216</v>
      </c>
      <c r="D75" s="6">
        <f t="shared" si="1"/>
        <v>-3.0908433772929467</v>
      </c>
      <c r="E75" s="18"/>
      <c r="F75" s="18"/>
    </row>
    <row r="76" spans="2:6" x14ac:dyDescent="0.55000000000000004">
      <c r="B76" s="1">
        <v>64</v>
      </c>
      <c r="C76" s="6">
        <f t="shared" si="0"/>
        <v>-7.5376019319265088</v>
      </c>
      <c r="D76" s="6">
        <f t="shared" si="1"/>
        <v>-2.6804024167683771</v>
      </c>
      <c r="E76" s="18"/>
      <c r="F76" s="18"/>
    </row>
    <row r="77" spans="2:6" x14ac:dyDescent="0.55000000000000004">
      <c r="B77" s="1">
        <v>65</v>
      </c>
      <c r="C77" s="6">
        <f t="shared" ref="C77:C140" si="2">B77^$C$9*COS(2*PI()*B77/$C$8)</f>
        <v>3.776429580401119</v>
      </c>
      <c r="D77" s="6">
        <f t="shared" ref="D77:D140" si="3">B77^$C$9*SIN(2*PI()*B77/$C$8)</f>
        <v>7.1231018260496191</v>
      </c>
      <c r="E77" s="18"/>
      <c r="F77" s="18"/>
    </row>
    <row r="78" spans="2:6" x14ac:dyDescent="0.55000000000000004">
      <c r="B78" s="1">
        <v>66</v>
      </c>
      <c r="C78" s="6">
        <f t="shared" si="2"/>
        <v>2.0426524825663588</v>
      </c>
      <c r="D78" s="6">
        <f t="shared" si="3"/>
        <v>-7.8630509877187933</v>
      </c>
      <c r="E78" s="18"/>
      <c r="F78" s="18"/>
    </row>
    <row r="79" spans="2:6" x14ac:dyDescent="0.55000000000000004">
      <c r="B79" s="1">
        <v>67</v>
      </c>
      <c r="C79" s="6">
        <f t="shared" si="2"/>
        <v>-6.8691453385771224</v>
      </c>
      <c r="D79" s="6">
        <f t="shared" si="3"/>
        <v>4.4513865612305787</v>
      </c>
      <c r="E79" s="18"/>
      <c r="F79" s="18"/>
    </row>
    <row r="80" spans="2:6" x14ac:dyDescent="0.55000000000000004">
      <c r="B80" s="1">
        <v>68</v>
      </c>
      <c r="C80" s="6">
        <f t="shared" si="2"/>
        <v>8.1319507827852497</v>
      </c>
      <c r="D80" s="6">
        <f t="shared" si="3"/>
        <v>1.3679826264826545</v>
      </c>
      <c r="E80" s="18"/>
      <c r="F80" s="18"/>
    </row>
    <row r="81" spans="2:6" x14ac:dyDescent="0.55000000000000004">
      <c r="B81" s="1">
        <v>69</v>
      </c>
      <c r="C81" s="6">
        <f t="shared" si="2"/>
        <v>-5.1092183408390532</v>
      </c>
      <c r="D81" s="6">
        <f t="shared" si="3"/>
        <v>-6.5494952435767013</v>
      </c>
      <c r="E81" s="18"/>
      <c r="F81" s="18"/>
    </row>
    <row r="82" spans="2:6" x14ac:dyDescent="0.55000000000000004">
      <c r="B82" s="1">
        <v>70</v>
      </c>
      <c r="C82" s="6">
        <f t="shared" si="2"/>
        <v>-0.66164864529818168</v>
      </c>
      <c r="D82" s="6">
        <f t="shared" si="3"/>
        <v>8.3403969372071902</v>
      </c>
      <c r="E82" s="18"/>
      <c r="F82" s="18"/>
    </row>
    <row r="83" spans="2:6" x14ac:dyDescent="0.55000000000000004">
      <c r="B83" s="1">
        <v>71</v>
      </c>
      <c r="C83" s="6">
        <f t="shared" si="2"/>
        <v>6.1654214784810462</v>
      </c>
      <c r="D83" s="6">
        <f t="shared" si="3"/>
        <v>-5.7434813478137627</v>
      </c>
      <c r="E83" s="18"/>
      <c r="F83" s="18"/>
    </row>
    <row r="84" spans="2:6" x14ac:dyDescent="0.55000000000000004">
      <c r="B84" s="1">
        <v>72</v>
      </c>
      <c r="C84" s="6">
        <f t="shared" si="2"/>
        <v>-8.4849867619997621</v>
      </c>
      <c r="D84" s="6">
        <f t="shared" si="3"/>
        <v>7.0708193929448881E-2</v>
      </c>
      <c r="E84" s="18"/>
      <c r="F84" s="18"/>
    </row>
    <row r="85" spans="2:6" x14ac:dyDescent="0.55000000000000004">
      <c r="B85" s="1">
        <v>73</v>
      </c>
      <c r="C85" s="6">
        <f t="shared" si="2"/>
        <v>6.3478438940062025</v>
      </c>
      <c r="D85" s="6">
        <f t="shared" si="3"/>
        <v>5.7188178758663195</v>
      </c>
      <c r="E85" s="18"/>
      <c r="F85" s="18"/>
    </row>
    <row r="86" spans="2:6" x14ac:dyDescent="0.55000000000000004">
      <c r="B86" s="1">
        <v>74</v>
      </c>
      <c r="C86" s="6">
        <f t="shared" si="2"/>
        <v>-0.8231088824334345</v>
      </c>
      <c r="D86" s="6">
        <f t="shared" si="3"/>
        <v>-8.5628553513217298</v>
      </c>
      <c r="E86" s="18"/>
      <c r="F86" s="18"/>
    </row>
    <row r="87" spans="2:6" x14ac:dyDescent="0.55000000000000004">
      <c r="B87" s="1">
        <v>75</v>
      </c>
      <c r="C87" s="6">
        <f t="shared" si="2"/>
        <v>-5.2121911742325731</v>
      </c>
      <c r="D87" s="6">
        <f t="shared" si="3"/>
        <v>6.9161451086029189</v>
      </c>
      <c r="E87" s="18"/>
      <c r="F87" s="18"/>
    </row>
    <row r="88" spans="2:6" x14ac:dyDescent="0.55000000000000004">
      <c r="B88" s="1">
        <v>76</v>
      </c>
      <c r="C88" s="6">
        <f t="shared" si="2"/>
        <v>8.5717072116878228</v>
      </c>
      <c r="D88" s="6">
        <f t="shared" si="3"/>
        <v>-1.5892877263412657</v>
      </c>
      <c r="E88" s="18"/>
      <c r="F88" s="18"/>
    </row>
    <row r="89" spans="2:6" x14ac:dyDescent="0.55000000000000004">
      <c r="B89" s="1">
        <v>77</v>
      </c>
      <c r="C89" s="6">
        <f t="shared" si="2"/>
        <v>-7.4424528099934797</v>
      </c>
      <c r="D89" s="6">
        <f t="shared" si="3"/>
        <v>-4.6486445520194559</v>
      </c>
      <c r="E89" s="18"/>
      <c r="F89" s="18"/>
    </row>
    <row r="90" spans="2:6" x14ac:dyDescent="0.55000000000000004">
      <c r="B90" s="1">
        <v>78</v>
      </c>
      <c r="C90" s="6">
        <f t="shared" si="2"/>
        <v>2.36274631085722</v>
      </c>
      <c r="D90" s="6">
        <f t="shared" si="3"/>
        <v>8.5098431166814468</v>
      </c>
      <c r="E90" s="18"/>
      <c r="F90" s="18"/>
    </row>
    <row r="91" spans="2:6" x14ac:dyDescent="0.55000000000000004">
      <c r="B91" s="1">
        <v>79</v>
      </c>
      <c r="C91" s="6">
        <f t="shared" si="2"/>
        <v>4.0318557865353108</v>
      </c>
      <c r="D91" s="6">
        <f t="shared" si="3"/>
        <v>-7.9211198019334184</v>
      </c>
      <c r="E91" s="18"/>
      <c r="F91" s="18"/>
    </row>
    <row r="92" spans="2:6" x14ac:dyDescent="0.55000000000000004">
      <c r="B92" s="1">
        <v>80</v>
      </c>
      <c r="C92" s="6">
        <f t="shared" si="2"/>
        <v>-8.3761819168461411</v>
      </c>
      <c r="D92" s="6">
        <f t="shared" si="3"/>
        <v>3.1368099234572235</v>
      </c>
      <c r="E92" s="18"/>
      <c r="F92" s="18"/>
    </row>
    <row r="93" spans="2:6" x14ac:dyDescent="0.55000000000000004">
      <c r="B93" s="1">
        <v>81</v>
      </c>
      <c r="C93" s="6">
        <f t="shared" si="2"/>
        <v>8.3468380919010237</v>
      </c>
      <c r="D93" s="6">
        <f t="shared" si="3"/>
        <v>3.3660501879190829</v>
      </c>
      <c r="E93" s="18"/>
      <c r="F93" s="18"/>
    </row>
    <row r="94" spans="2:6" x14ac:dyDescent="0.55000000000000004">
      <c r="B94" s="1">
        <v>82</v>
      </c>
      <c r="C94" s="6">
        <f t="shared" si="2"/>
        <v>-3.9046859632707909</v>
      </c>
      <c r="D94" s="6">
        <f t="shared" si="3"/>
        <v>-8.1702770778129725</v>
      </c>
      <c r="E94" s="18"/>
      <c r="F94" s="18"/>
    </row>
    <row r="95" spans="2:6" x14ac:dyDescent="0.55000000000000004">
      <c r="B95" s="1">
        <v>83</v>
      </c>
      <c r="C95" s="6">
        <f t="shared" si="2"/>
        <v>-2.655968505338445</v>
      </c>
      <c r="D95" s="6">
        <f t="shared" si="3"/>
        <v>8.7146905452029841</v>
      </c>
      <c r="E95" s="18"/>
      <c r="F95" s="18"/>
    </row>
    <row r="96" spans="2:6" x14ac:dyDescent="0.55000000000000004">
      <c r="B96" s="1">
        <v>84</v>
      </c>
      <c r="C96" s="6">
        <f t="shared" si="2"/>
        <v>7.8923277649891492</v>
      </c>
      <c r="D96" s="6">
        <f t="shared" si="3"/>
        <v>-4.6595238436970536</v>
      </c>
      <c r="E96" s="18"/>
      <c r="F96" s="18"/>
    </row>
    <row r="97" spans="2:6" x14ac:dyDescent="0.55000000000000004">
      <c r="B97" s="1">
        <v>85</v>
      </c>
      <c r="C97" s="6">
        <f t="shared" si="2"/>
        <v>-9.0201995082252235</v>
      </c>
      <c r="D97" s="6">
        <f t="shared" si="3"/>
        <v>-1.9068300479627009</v>
      </c>
      <c r="E97" s="18"/>
      <c r="F97" s="18"/>
    </row>
    <row r="98" spans="2:6" x14ac:dyDescent="0.55000000000000004">
      <c r="B98" s="1">
        <v>86</v>
      </c>
      <c r="C98" s="6">
        <f t="shared" si="2"/>
        <v>5.3944758794041245</v>
      </c>
      <c r="D98" s="6">
        <f t="shared" si="3"/>
        <v>7.5431843399539886</v>
      </c>
      <c r="E98" s="18"/>
      <c r="F98" s="18"/>
    </row>
    <row r="99" spans="2:6" x14ac:dyDescent="0.55000000000000004">
      <c r="B99" s="1">
        <v>87</v>
      </c>
      <c r="C99" s="6">
        <f t="shared" si="2"/>
        <v>1.1242913065411848</v>
      </c>
      <c r="D99" s="6">
        <f t="shared" si="3"/>
        <v>-9.2593719580777147</v>
      </c>
      <c r="E99" s="18"/>
      <c r="F99" s="18"/>
    </row>
    <row r="100" spans="2:6" x14ac:dyDescent="0.55000000000000004">
      <c r="B100" s="1">
        <v>88</v>
      </c>
      <c r="C100" s="6">
        <f t="shared" si="2"/>
        <v>-7.1243481817491077</v>
      </c>
      <c r="D100" s="6">
        <f t="shared" si="3"/>
        <v>6.1027586373056071</v>
      </c>
      <c r="E100" s="18"/>
      <c r="F100" s="18"/>
    </row>
    <row r="101" spans="2:6" x14ac:dyDescent="0.55000000000000004">
      <c r="B101" s="1">
        <v>89</v>
      </c>
      <c r="C101" s="6">
        <f t="shared" si="2"/>
        <v>9.4287407635935523</v>
      </c>
      <c r="D101" s="6">
        <f t="shared" si="3"/>
        <v>0.31440040227272603</v>
      </c>
      <c r="E101" s="18"/>
      <c r="F101" s="18"/>
    </row>
    <row r="102" spans="2:6" x14ac:dyDescent="0.55000000000000004">
      <c r="B102" s="1">
        <v>90</v>
      </c>
      <c r="C102" s="6">
        <f t="shared" si="2"/>
        <v>-6.7777142240805155</v>
      </c>
      <c r="D102" s="6">
        <f t="shared" si="3"/>
        <v>-6.6379657950833604</v>
      </c>
      <c r="E102" s="18"/>
      <c r="F102" s="18"/>
    </row>
    <row r="103" spans="2:6" x14ac:dyDescent="0.55000000000000004">
      <c r="B103" s="1">
        <v>91</v>
      </c>
      <c r="C103" s="6">
        <f t="shared" si="2"/>
        <v>0.5164522722165279</v>
      </c>
      <c r="D103" s="6">
        <f t="shared" si="3"/>
        <v>9.5254016739727252</v>
      </c>
      <c r="E103" s="18"/>
      <c r="F103" s="18"/>
    </row>
    <row r="104" spans="2:6" x14ac:dyDescent="0.55000000000000004">
      <c r="B104" s="1">
        <v>92</v>
      </c>
      <c r="C104" s="6">
        <f t="shared" si="2"/>
        <v>6.0868172167743664</v>
      </c>
      <c r="D104" s="6">
        <f t="shared" si="3"/>
        <v>-7.4128709802329045</v>
      </c>
      <c r="E104" s="18"/>
      <c r="F104" s="18"/>
    </row>
    <row r="105" spans="2:6" x14ac:dyDescent="0.55000000000000004">
      <c r="B105" s="1">
        <v>93</v>
      </c>
      <c r="C105" s="6">
        <f t="shared" si="2"/>
        <v>-9.5470456860732096</v>
      </c>
      <c r="D105" s="6">
        <f t="shared" si="3"/>
        <v>1.3615868198653047</v>
      </c>
      <c r="E105" s="18"/>
      <c r="F105" s="18"/>
    </row>
    <row r="106" spans="2:6" x14ac:dyDescent="0.55000000000000004">
      <c r="B106" s="1">
        <v>94</v>
      </c>
      <c r="C106" s="6">
        <f t="shared" si="2"/>
        <v>8.0020030527007577</v>
      </c>
      <c r="D106" s="6">
        <f t="shared" si="3"/>
        <v>5.4742987810830872</v>
      </c>
      <c r="E106" s="18"/>
      <c r="F106" s="18"/>
    </row>
    <row r="107" spans="2:6" x14ac:dyDescent="0.55000000000000004">
      <c r="B107" s="1">
        <v>95</v>
      </c>
      <c r="C107" s="6">
        <f t="shared" si="2"/>
        <v>-2.2140895824738012</v>
      </c>
      <c r="D107" s="6">
        <f t="shared" si="3"/>
        <v>-9.4919864791718371</v>
      </c>
      <c r="E107" s="18"/>
      <c r="F107" s="18"/>
    </row>
    <row r="108" spans="2:6" x14ac:dyDescent="0.55000000000000004">
      <c r="B108" s="1">
        <v>96</v>
      </c>
      <c r="C108" s="6">
        <f t="shared" si="2"/>
        <v>-4.8044003535328121</v>
      </c>
      <c r="D108" s="6">
        <f t="shared" si="3"/>
        <v>8.5391883245993458</v>
      </c>
      <c r="E108" s="18"/>
      <c r="F108" s="18"/>
    </row>
    <row r="109" spans="2:6" x14ac:dyDescent="0.55000000000000004">
      <c r="B109" s="1">
        <v>97</v>
      </c>
      <c r="C109" s="6">
        <f t="shared" si="2"/>
        <v>9.3591826466269321</v>
      </c>
      <c r="D109" s="6">
        <f t="shared" si="3"/>
        <v>-3.0668714004792066</v>
      </c>
      <c r="E109" s="18"/>
      <c r="F109" s="18"/>
    </row>
    <row r="110" spans="2:6" x14ac:dyDescent="0.55000000000000004">
      <c r="B110" s="1">
        <v>98</v>
      </c>
      <c r="C110" s="6">
        <f t="shared" si="2"/>
        <v>-9.0188641916876904</v>
      </c>
      <c r="D110" s="6">
        <f t="shared" si="3"/>
        <v>-4.0816771910445757</v>
      </c>
      <c r="E110" s="18"/>
      <c r="F110" s="18"/>
    </row>
    <row r="111" spans="2:6" x14ac:dyDescent="0.55000000000000004">
      <c r="B111" s="1">
        <v>99</v>
      </c>
      <c r="C111" s="6">
        <f t="shared" si="2"/>
        <v>3.9127279050393922</v>
      </c>
      <c r="D111" s="6">
        <f t="shared" si="3"/>
        <v>9.1482544969587529</v>
      </c>
      <c r="E111" s="18"/>
      <c r="F111" s="18"/>
    </row>
    <row r="112" spans="2:6" x14ac:dyDescent="0.55000000000000004">
      <c r="B112" s="1">
        <v>100</v>
      </c>
      <c r="C112" s="6">
        <f t="shared" si="2"/>
        <v>3.3112166332056376</v>
      </c>
      <c r="D112" s="6">
        <f t="shared" si="3"/>
        <v>-9.4358806906394435</v>
      </c>
      <c r="E112" s="18"/>
      <c r="F112" s="18"/>
    </row>
    <row r="113" spans="2:6" x14ac:dyDescent="0.55000000000000004">
      <c r="B113" s="1">
        <v>101</v>
      </c>
      <c r="C113" s="6">
        <f t="shared" si="2"/>
        <v>-8.8594952420507536</v>
      </c>
      <c r="D113" s="6">
        <f t="shared" si="3"/>
        <v>4.7444013380067309</v>
      </c>
      <c r="E113" s="18"/>
      <c r="F113" s="18"/>
    </row>
    <row r="114" spans="2:6" x14ac:dyDescent="0.55000000000000004">
      <c r="B114" s="1">
        <v>102</v>
      </c>
      <c r="C114" s="6">
        <f t="shared" si="2"/>
        <v>9.7855505039177615</v>
      </c>
      <c r="D114" s="6">
        <f t="shared" si="3"/>
        <v>2.4985998749849556</v>
      </c>
      <c r="E114" s="18"/>
      <c r="F114" s="18"/>
    </row>
    <row r="115" spans="2:6" x14ac:dyDescent="0.55000000000000004">
      <c r="B115" s="1">
        <v>103</v>
      </c>
      <c r="C115" s="6">
        <f t="shared" si="2"/>
        <v>-5.5546433792707335</v>
      </c>
      <c r="D115" s="6">
        <f t="shared" si="3"/>
        <v>-8.4938764371236175</v>
      </c>
      <c r="E115" s="18"/>
      <c r="F115" s="18"/>
    </row>
    <row r="116" spans="2:6" x14ac:dyDescent="0.55000000000000004">
      <c r="B116" s="1">
        <v>104</v>
      </c>
      <c r="C116" s="6">
        <f t="shared" si="2"/>
        <v>-1.649859114739872</v>
      </c>
      <c r="D116" s="6">
        <f t="shared" si="3"/>
        <v>10.063695389940504</v>
      </c>
      <c r="E116" s="18"/>
      <c r="F116" s="18"/>
    </row>
    <row r="117" spans="2:6" x14ac:dyDescent="0.55000000000000004">
      <c r="B117" s="1">
        <v>105</v>
      </c>
      <c r="C117" s="6">
        <f t="shared" si="2"/>
        <v>8.0530475854109458</v>
      </c>
      <c r="D117" s="6">
        <f t="shared" si="3"/>
        <v>-6.3362784493034194</v>
      </c>
      <c r="E117" s="18"/>
      <c r="F117" s="18"/>
    </row>
    <row r="118" spans="2:6" x14ac:dyDescent="0.55000000000000004">
      <c r="B118" s="1">
        <v>106</v>
      </c>
      <c r="C118" s="6">
        <f t="shared" si="2"/>
        <v>-10.266688615060369</v>
      </c>
      <c r="D118" s="6">
        <f t="shared" si="3"/>
        <v>-0.77143041253882416</v>
      </c>
      <c r="E118" s="18"/>
      <c r="F118" s="18"/>
    </row>
    <row r="119" spans="2:6" x14ac:dyDescent="0.55000000000000004">
      <c r="B119" s="1">
        <v>107</v>
      </c>
      <c r="C119" s="6">
        <f t="shared" si="2"/>
        <v>7.0822669474902558</v>
      </c>
      <c r="D119" s="6">
        <f t="shared" si="3"/>
        <v>7.5393298697223132</v>
      </c>
      <c r="E119" s="18"/>
      <c r="F119" s="18"/>
    </row>
    <row r="120" spans="2:6" x14ac:dyDescent="0.55000000000000004">
      <c r="B120" s="1">
        <v>108</v>
      </c>
      <c r="C120" s="6">
        <f t="shared" si="2"/>
        <v>-0.12989736757900883</v>
      </c>
      <c r="D120" s="6">
        <f t="shared" si="3"/>
        <v>-10.391492995421594</v>
      </c>
      <c r="E120" s="18"/>
      <c r="F120" s="18"/>
    </row>
    <row r="121" spans="2:6" x14ac:dyDescent="0.55000000000000004">
      <c r="B121" s="1">
        <v>109</v>
      </c>
      <c r="C121" s="6">
        <f t="shared" si="2"/>
        <v>-6.9557040228796811</v>
      </c>
      <c r="D121" s="6">
        <f t="shared" si="3"/>
        <v>7.7857678841650184</v>
      </c>
      <c r="E121" s="18"/>
      <c r="F121" s="18"/>
    </row>
    <row r="122" spans="2:6" x14ac:dyDescent="0.55000000000000004">
      <c r="B122" s="1">
        <v>110</v>
      </c>
      <c r="C122" s="6">
        <f t="shared" si="2"/>
        <v>10.435694191792804</v>
      </c>
      <c r="D122" s="6">
        <f t="shared" si="3"/>
        <v>-1.0470371222559129</v>
      </c>
      <c r="E122" s="18"/>
      <c r="F122" s="18"/>
    </row>
    <row r="123" spans="2:6" x14ac:dyDescent="0.55000000000000004">
      <c r="B123" s="1">
        <v>111</v>
      </c>
      <c r="C123" s="6">
        <f t="shared" si="2"/>
        <v>-8.4402003662093907</v>
      </c>
      <c r="D123" s="6">
        <f t="shared" si="3"/>
        <v>-6.3057923989169566</v>
      </c>
      <c r="E123" s="18"/>
      <c r="F123" s="18"/>
    </row>
    <row r="124" spans="2:6" x14ac:dyDescent="0.55000000000000004">
      <c r="B124" s="1">
        <v>112</v>
      </c>
      <c r="C124" s="6">
        <f t="shared" si="2"/>
        <v>1.9726611389673308</v>
      </c>
      <c r="D124" s="6">
        <f t="shared" si="3"/>
        <v>10.397528938685774</v>
      </c>
      <c r="E124" s="18"/>
      <c r="F124" s="18"/>
    </row>
    <row r="125" spans="2:6" x14ac:dyDescent="0.55000000000000004">
      <c r="B125" s="1">
        <v>113</v>
      </c>
      <c r="C125" s="6">
        <f t="shared" si="2"/>
        <v>5.5938353565861174</v>
      </c>
      <c r="D125" s="6">
        <f t="shared" si="3"/>
        <v>-9.0393034025530472</v>
      </c>
      <c r="E125" s="18"/>
      <c r="F125" s="18"/>
    </row>
    <row r="126" spans="2:6" x14ac:dyDescent="0.55000000000000004">
      <c r="B126" s="1">
        <v>114</v>
      </c>
      <c r="C126" s="6">
        <f t="shared" si="2"/>
        <v>-10.275907930167868</v>
      </c>
      <c r="D126" s="6">
        <f t="shared" si="3"/>
        <v>2.8992613215633303</v>
      </c>
      <c r="E126" s="18"/>
      <c r="F126" s="18"/>
    </row>
    <row r="127" spans="2:6" x14ac:dyDescent="0.55000000000000004">
      <c r="B127" s="1">
        <v>115</v>
      </c>
      <c r="C127" s="6">
        <f t="shared" si="2"/>
        <v>9.5771935069611782</v>
      </c>
      <c r="D127" s="6">
        <f t="shared" si="3"/>
        <v>4.8246621156533482</v>
      </c>
      <c r="E127" s="18"/>
      <c r="F127" s="18"/>
    </row>
    <row r="128" spans="2:6" x14ac:dyDescent="0.55000000000000004">
      <c r="B128" s="1">
        <v>116</v>
      </c>
      <c r="C128" s="6">
        <f t="shared" si="2"/>
        <v>-3.8192115162802573</v>
      </c>
      <c r="D128" s="6">
        <f t="shared" si="3"/>
        <v>-10.070433128416685</v>
      </c>
      <c r="E128" s="18"/>
      <c r="F128" s="18"/>
    </row>
    <row r="129" spans="2:6" x14ac:dyDescent="0.55000000000000004">
      <c r="B129" s="1">
        <v>117</v>
      </c>
      <c r="C129" s="6">
        <f t="shared" si="2"/>
        <v>-4.0036562942497032</v>
      </c>
      <c r="D129" s="6">
        <f t="shared" si="3"/>
        <v>10.048419591035934</v>
      </c>
      <c r="E129" s="18"/>
      <c r="F129" s="18"/>
    </row>
    <row r="130" spans="2:6" x14ac:dyDescent="0.55000000000000004">
      <c r="B130" s="1">
        <v>118</v>
      </c>
      <c r="C130" s="6">
        <f t="shared" si="2"/>
        <v>9.7814093068996879</v>
      </c>
      <c r="D130" s="6">
        <f t="shared" si="3"/>
        <v>-4.7248314224844199</v>
      </c>
      <c r="E130" s="18"/>
      <c r="F130" s="18"/>
    </row>
    <row r="131" spans="2:6" x14ac:dyDescent="0.55000000000000004">
      <c r="B131" s="1">
        <v>119</v>
      </c>
      <c r="C131" s="6">
        <f t="shared" si="2"/>
        <v>-10.448014660191697</v>
      </c>
      <c r="D131" s="6">
        <f t="shared" si="3"/>
        <v>-3.1367163818903627</v>
      </c>
      <c r="E131" s="18"/>
      <c r="F131" s="18"/>
    </row>
    <row r="132" spans="2:6" x14ac:dyDescent="0.55000000000000004">
      <c r="B132" s="1">
        <v>120</v>
      </c>
      <c r="C132" s="6">
        <f t="shared" si="2"/>
        <v>5.6084515558900518</v>
      </c>
      <c r="D132" s="6">
        <f t="shared" si="3"/>
        <v>9.4098496877067301</v>
      </c>
      <c r="E132" s="18"/>
      <c r="F132" s="18"/>
    </row>
    <row r="133" spans="2:6" x14ac:dyDescent="0.55000000000000004">
      <c r="B133" s="1">
        <v>121</v>
      </c>
      <c r="C133" s="6">
        <f t="shared" si="2"/>
        <v>2.2302114471027248</v>
      </c>
      <c r="D133" s="6">
        <f t="shared" si="3"/>
        <v>-10.771543849477286</v>
      </c>
      <c r="E133" s="18"/>
      <c r="F133" s="18"/>
    </row>
    <row r="134" spans="2:6" x14ac:dyDescent="0.55000000000000004">
      <c r="B134" s="1">
        <v>122</v>
      </c>
      <c r="C134" s="6">
        <f t="shared" si="2"/>
        <v>-8.9574755816277527</v>
      </c>
      <c r="D134" s="6">
        <f t="shared" si="3"/>
        <v>6.4624787198522036</v>
      </c>
      <c r="E134" s="18"/>
      <c r="F134" s="18"/>
    </row>
    <row r="135" spans="2:6" x14ac:dyDescent="0.55000000000000004">
      <c r="B135" s="1">
        <v>123</v>
      </c>
      <c r="C135" s="6">
        <f t="shared" si="2"/>
        <v>11.015148364190001</v>
      </c>
      <c r="D135" s="6">
        <f t="shared" si="3"/>
        <v>1.2909324207263302</v>
      </c>
      <c r="E135" s="18"/>
      <c r="F135" s="18"/>
    </row>
    <row r="136" spans="2:6" x14ac:dyDescent="0.55000000000000004">
      <c r="B136" s="1">
        <v>124</v>
      </c>
      <c r="C136" s="6">
        <f t="shared" si="2"/>
        <v>-7.2794614326985423</v>
      </c>
      <c r="D136" s="6">
        <f t="shared" si="3"/>
        <v>-8.4267099896611182</v>
      </c>
      <c r="E136" s="18"/>
      <c r="F136" s="18"/>
    </row>
    <row r="137" spans="2:6" x14ac:dyDescent="0.55000000000000004">
      <c r="B137" s="1">
        <v>125</v>
      </c>
      <c r="C137" s="6">
        <f t="shared" si="2"/>
        <v>-0.32603933538427143</v>
      </c>
      <c r="D137" s="6">
        <f t="shared" si="3"/>
        <v>11.175584922131915</v>
      </c>
      <c r="E137" s="18"/>
      <c r="F137" s="18"/>
    </row>
    <row r="138" spans="2:6" x14ac:dyDescent="0.55000000000000004">
      <c r="B138" s="1">
        <v>126</v>
      </c>
      <c r="C138" s="6">
        <f t="shared" si="2"/>
        <v>7.8206651753210634</v>
      </c>
      <c r="D138" s="6">
        <f t="shared" si="3"/>
        <v>-8.0521547560588012</v>
      </c>
      <c r="E138" s="18"/>
      <c r="F138" s="18"/>
    </row>
    <row r="139" spans="2:6" x14ac:dyDescent="0.55000000000000004">
      <c r="B139" s="1">
        <v>127</v>
      </c>
      <c r="C139" s="6">
        <f t="shared" si="2"/>
        <v>-11.25026032981232</v>
      </c>
      <c r="D139" s="6">
        <f t="shared" si="3"/>
        <v>0.65699506196862478</v>
      </c>
      <c r="E139" s="18"/>
      <c r="F139" s="18"/>
    </row>
    <row r="140" spans="2:6" x14ac:dyDescent="0.55000000000000004">
      <c r="B140" s="1">
        <v>128</v>
      </c>
      <c r="C140" s="6">
        <f t="shared" si="2"/>
        <v>8.773583970776361</v>
      </c>
      <c r="D140" s="6">
        <f t="shared" si="3"/>
        <v>7.1431242679751925</v>
      </c>
      <c r="E140" s="18"/>
      <c r="F140" s="18"/>
    </row>
    <row r="141" spans="2:6" x14ac:dyDescent="0.55000000000000004">
      <c r="B141" s="1">
        <v>129</v>
      </c>
      <c r="C141" s="6">
        <f t="shared" ref="C141:C204" si="4">B141^$C$9*COS(2*PI()*B141/$C$8)</f>
        <v>-1.6504448743548832</v>
      </c>
      <c r="D141" s="6">
        <f t="shared" ref="D141:D204" si="5">B141^$C$9*SIN(2*PI()*B141/$C$8)</f>
        <v>-11.237260863605316</v>
      </c>
      <c r="E141" s="18"/>
      <c r="F141" s="18"/>
    </row>
    <row r="142" spans="2:6" x14ac:dyDescent="0.55000000000000004">
      <c r="B142" s="1">
        <v>130</v>
      </c>
      <c r="C142" s="6">
        <f t="shared" si="4"/>
        <v>-6.3985170080948155</v>
      </c>
      <c r="D142" s="6">
        <f t="shared" si="5"/>
        <v>9.4371065532355498</v>
      </c>
      <c r="E142" s="18"/>
      <c r="F142" s="18"/>
    </row>
    <row r="143" spans="2:6" x14ac:dyDescent="0.55000000000000004">
      <c r="B143" s="1">
        <v>131</v>
      </c>
      <c r="C143" s="6">
        <f t="shared" si="4"/>
        <v>11.135376168554073</v>
      </c>
      <c r="D143" s="6">
        <f t="shared" si="5"/>
        <v>-2.6463933163454794</v>
      </c>
      <c r="E143" s="18"/>
      <c r="F143" s="18"/>
    </row>
    <row r="144" spans="2:6" x14ac:dyDescent="0.55000000000000004">
      <c r="B144" s="1">
        <v>132</v>
      </c>
      <c r="C144" s="6">
        <f t="shared" si="4"/>
        <v>-10.036471915869342</v>
      </c>
      <c r="D144" s="6">
        <f t="shared" si="5"/>
        <v>-5.5918897952271891</v>
      </c>
      <c r="E144" s="18"/>
      <c r="F144" s="18"/>
    </row>
    <row r="145" spans="2:6" x14ac:dyDescent="0.55000000000000004">
      <c r="B145" s="1">
        <v>133</v>
      </c>
      <c r="C145" s="6">
        <f t="shared" si="4"/>
        <v>3.6367971676738167</v>
      </c>
      <c r="D145" s="6">
        <f t="shared" si="5"/>
        <v>10.944117431807816</v>
      </c>
      <c r="E145" s="18"/>
      <c r="F145" s="18"/>
    </row>
    <row r="146" spans="2:6" x14ac:dyDescent="0.55000000000000004">
      <c r="B146" s="1">
        <v>134</v>
      </c>
      <c r="C146" s="6">
        <f t="shared" si="4"/>
        <v>4.7288702484041236</v>
      </c>
      <c r="D146" s="6">
        <f t="shared" si="5"/>
        <v>-10.565878391016922</v>
      </c>
      <c r="E146" s="18"/>
      <c r="F146" s="18"/>
    </row>
    <row r="147" spans="2:6" x14ac:dyDescent="0.55000000000000004">
      <c r="B147" s="1">
        <v>135</v>
      </c>
      <c r="C147" s="6">
        <f t="shared" si="4"/>
        <v>-10.663729634243785</v>
      </c>
      <c r="D147" s="6">
        <f t="shared" si="5"/>
        <v>4.6135528920508646</v>
      </c>
      <c r="E147" s="18"/>
      <c r="F147" s="18"/>
    </row>
    <row r="148" spans="2:6" x14ac:dyDescent="0.55000000000000004">
      <c r="B148" s="1">
        <v>136</v>
      </c>
      <c r="C148" s="6">
        <f t="shared" si="4"/>
        <v>11.020026957191702</v>
      </c>
      <c r="D148" s="6">
        <f t="shared" si="5"/>
        <v>3.8156265360708761</v>
      </c>
      <c r="E148" s="18"/>
      <c r="F148" s="18"/>
    </row>
    <row r="149" spans="2:6" x14ac:dyDescent="0.55000000000000004">
      <c r="B149" s="1">
        <v>137</v>
      </c>
      <c r="C149" s="6">
        <f t="shared" si="4"/>
        <v>-5.5685638770897894</v>
      </c>
      <c r="D149" s="6">
        <f t="shared" si="5"/>
        <v>-10.295197732281336</v>
      </c>
      <c r="E149" s="18"/>
      <c r="F149" s="18"/>
    </row>
    <row r="150" spans="2:6" x14ac:dyDescent="0.55000000000000004">
      <c r="B150" s="1">
        <v>138</v>
      </c>
      <c r="C150" s="6">
        <f t="shared" si="4"/>
        <v>-2.8588217780957828</v>
      </c>
      <c r="D150" s="6">
        <f t="shared" si="5"/>
        <v>11.394171230988468</v>
      </c>
      <c r="E150" s="18"/>
      <c r="F150" s="18"/>
    </row>
    <row r="151" spans="2:6" x14ac:dyDescent="0.55000000000000004">
      <c r="B151" s="1">
        <v>139</v>
      </c>
      <c r="C151" s="6">
        <f t="shared" si="4"/>
        <v>9.8402466718262964</v>
      </c>
      <c r="D151" s="6">
        <f t="shared" si="5"/>
        <v>-6.493808238438481</v>
      </c>
      <c r="E151" s="18"/>
      <c r="F151" s="18"/>
    </row>
    <row r="152" spans="2:6" x14ac:dyDescent="0.55000000000000004">
      <c r="B152" s="1">
        <v>140</v>
      </c>
      <c r="C152" s="6">
        <f t="shared" si="4"/>
        <v>-11.684163276130421</v>
      </c>
      <c r="D152" s="6">
        <f t="shared" si="5"/>
        <v>-1.8655638656248734</v>
      </c>
      <c r="E152" s="18"/>
      <c r="F152" s="18"/>
    </row>
    <row r="153" spans="2:6" x14ac:dyDescent="0.55000000000000004">
      <c r="B153" s="1">
        <v>141</v>
      </c>
      <c r="C153" s="6">
        <f t="shared" si="4"/>
        <v>7.3814066229011654</v>
      </c>
      <c r="D153" s="6">
        <f t="shared" si="5"/>
        <v>9.3013351873476093</v>
      </c>
      <c r="E153" s="18"/>
      <c r="F153" s="18"/>
    </row>
    <row r="154" spans="2:6" x14ac:dyDescent="0.55000000000000004">
      <c r="B154" s="1">
        <v>142</v>
      </c>
      <c r="C154" s="6">
        <f t="shared" si="4"/>
        <v>0.84335108508537526</v>
      </c>
      <c r="D154" s="6">
        <f t="shared" si="5"/>
        <v>-11.886494813328499</v>
      </c>
      <c r="E154" s="18"/>
      <c r="F154" s="18"/>
    </row>
    <row r="155" spans="2:6" x14ac:dyDescent="0.55000000000000004">
      <c r="B155" s="1">
        <v>143</v>
      </c>
      <c r="C155" s="6">
        <f t="shared" si="4"/>
        <v>-8.6816433907314128</v>
      </c>
      <c r="D155" s="6">
        <f t="shared" si="5"/>
        <v>8.2236894418606035</v>
      </c>
      <c r="E155" s="18"/>
      <c r="F155" s="18"/>
    </row>
    <row r="156" spans="2:6" x14ac:dyDescent="0.55000000000000004">
      <c r="B156" s="1">
        <v>144</v>
      </c>
      <c r="C156" s="6">
        <f t="shared" si="4"/>
        <v>11.998333450437078</v>
      </c>
      <c r="D156" s="6">
        <f t="shared" si="5"/>
        <v>-0.19998602981876196</v>
      </c>
      <c r="E156" s="18"/>
      <c r="F156" s="18"/>
    </row>
    <row r="157" spans="2:6" x14ac:dyDescent="0.55000000000000004">
      <c r="B157" s="1">
        <v>145</v>
      </c>
      <c r="C157" s="6">
        <f t="shared" si="4"/>
        <v>-9.0132629673462894</v>
      </c>
      <c r="D157" s="6">
        <f t="shared" si="5"/>
        <v>-7.9850542065451231</v>
      </c>
      <c r="E157" s="18"/>
      <c r="F157" s="18"/>
    </row>
    <row r="158" spans="2:6" x14ac:dyDescent="0.55000000000000004">
      <c r="B158" s="1">
        <v>146</v>
      </c>
      <c r="C158" s="6">
        <f t="shared" si="4"/>
        <v>1.2563461600544863</v>
      </c>
      <c r="D158" s="6">
        <f t="shared" si="5"/>
        <v>12.017553591564148</v>
      </c>
      <c r="E158" s="18"/>
      <c r="F158" s="18"/>
    </row>
    <row r="159" spans="2:6" x14ac:dyDescent="0.55000000000000004">
      <c r="B159" s="1">
        <v>147</v>
      </c>
      <c r="C159" s="6">
        <f t="shared" si="4"/>
        <v>7.2161287620480579</v>
      </c>
      <c r="D159" s="6">
        <f t="shared" si="5"/>
        <v>-9.7430737290417113</v>
      </c>
      <c r="E159" s="18"/>
      <c r="F159" s="18"/>
    </row>
    <row r="160" spans="2:6" x14ac:dyDescent="0.55000000000000004">
      <c r="B160" s="1">
        <v>148</v>
      </c>
      <c r="C160" s="6">
        <f t="shared" si="4"/>
        <v>-11.942761726020692</v>
      </c>
      <c r="D160" s="6">
        <f t="shared" si="5"/>
        <v>2.3174214885288422</v>
      </c>
      <c r="E160" s="18"/>
      <c r="F160" s="18"/>
    </row>
    <row r="161" spans="2:6" x14ac:dyDescent="0.55000000000000004">
      <c r="B161" s="1">
        <v>149</v>
      </c>
      <c r="C161" s="6">
        <f t="shared" si="4"/>
        <v>10.406470661067541</v>
      </c>
      <c r="D161" s="6">
        <f t="shared" si="5"/>
        <v>6.3800758914248403</v>
      </c>
      <c r="E161" s="18"/>
      <c r="F161" s="18"/>
    </row>
    <row r="162" spans="2:6" x14ac:dyDescent="0.55000000000000004">
      <c r="B162" s="1">
        <v>150</v>
      </c>
      <c r="C162" s="6">
        <f t="shared" si="4"/>
        <v>-3.3747642973222196</v>
      </c>
      <c r="D162" s="6">
        <f t="shared" si="5"/>
        <v>-11.773315842935636</v>
      </c>
      <c r="E162" s="18"/>
      <c r="F162" s="18"/>
    </row>
    <row r="163" spans="2:6" x14ac:dyDescent="0.55000000000000004">
      <c r="B163" s="1">
        <v>151</v>
      </c>
      <c r="C163" s="6">
        <f t="shared" si="4"/>
        <v>-5.4827159637855409</v>
      </c>
      <c r="D163" s="6">
        <f t="shared" si="5"/>
        <v>10.997264462603924</v>
      </c>
      <c r="E163" s="18"/>
      <c r="F163" s="18"/>
    </row>
    <row r="164" spans="2:6" x14ac:dyDescent="0.55000000000000004">
      <c r="B164" s="1">
        <v>152</v>
      </c>
      <c r="C164" s="6">
        <f t="shared" si="4"/>
        <v>11.50933876466296</v>
      </c>
      <c r="D164" s="6">
        <f t="shared" si="5"/>
        <v>-4.4198553370247824</v>
      </c>
      <c r="E164" s="18"/>
      <c r="F164" s="18"/>
    </row>
    <row r="165" spans="2:6" x14ac:dyDescent="0.55000000000000004">
      <c r="B165" s="1">
        <v>153</v>
      </c>
      <c r="C165" s="6">
        <f t="shared" si="4"/>
        <v>-11.509783656159666</v>
      </c>
      <c r="D165" s="6">
        <f t="shared" si="5"/>
        <v>-4.5304392930928703</v>
      </c>
      <c r="E165" s="18"/>
      <c r="F165" s="18"/>
    </row>
    <row r="166" spans="2:6" x14ac:dyDescent="0.55000000000000004">
      <c r="B166" s="1">
        <v>154</v>
      </c>
      <c r="C166" s="6">
        <f t="shared" si="4"/>
        <v>5.4441734120659824</v>
      </c>
      <c r="D166" s="6">
        <f t="shared" si="5"/>
        <v>11.151725241385472</v>
      </c>
      <c r="E166" s="18"/>
      <c r="F166" s="18"/>
    </row>
    <row r="167" spans="2:6" x14ac:dyDescent="0.55000000000000004">
      <c r="B167" s="1">
        <v>155</v>
      </c>
      <c r="C167" s="6">
        <f t="shared" si="4"/>
        <v>3.5301594348818743</v>
      </c>
      <c r="D167" s="6">
        <f t="shared" si="5"/>
        <v>-11.938926851451704</v>
      </c>
      <c r="E167" s="18"/>
      <c r="F167" s="18"/>
    </row>
    <row r="168" spans="2:6" x14ac:dyDescent="0.55000000000000004">
      <c r="B168" s="1">
        <v>156</v>
      </c>
      <c r="C168" s="6">
        <f t="shared" si="4"/>
        <v>-10.702142700158074</v>
      </c>
      <c r="D168" s="6">
        <f t="shared" si="5"/>
        <v>6.4392656122770138</v>
      </c>
      <c r="E168" s="18"/>
      <c r="F168" s="18"/>
    </row>
    <row r="169" spans="2:6" x14ac:dyDescent="0.55000000000000004">
      <c r="B169" s="1">
        <v>157</v>
      </c>
      <c r="C169" s="6">
        <f t="shared" si="4"/>
        <v>12.28021075118923</v>
      </c>
      <c r="D169" s="6">
        <f t="shared" si="5"/>
        <v>2.4892617191401203</v>
      </c>
      <c r="E169" s="18"/>
      <c r="F169" s="18"/>
    </row>
    <row r="170" spans="2:6" x14ac:dyDescent="0.55000000000000004">
      <c r="B170" s="1">
        <v>158</v>
      </c>
      <c r="C170" s="6">
        <f t="shared" si="4"/>
        <v>-7.3968176117916622</v>
      </c>
      <c r="D170" s="6">
        <f t="shared" si="5"/>
        <v>-10.163025593684624</v>
      </c>
      <c r="E170" s="18"/>
      <c r="F170" s="18"/>
    </row>
    <row r="171" spans="2:6" x14ac:dyDescent="0.55000000000000004">
      <c r="B171" s="1">
        <v>159</v>
      </c>
      <c r="C171" s="6">
        <f t="shared" si="4"/>
        <v>-1.4155474104842614</v>
      </c>
      <c r="D171" s="6">
        <f t="shared" si="5"/>
        <v>12.529813467433236</v>
      </c>
      <c r="E171" s="18"/>
      <c r="F171" s="18"/>
    </row>
    <row r="172" spans="2:6" x14ac:dyDescent="0.55000000000000004">
      <c r="B172" s="1">
        <v>160</v>
      </c>
      <c r="C172" s="6">
        <f t="shared" si="4"/>
        <v>9.5375633468233652</v>
      </c>
      <c r="D172" s="6">
        <f t="shared" si="5"/>
        <v>-8.3087234522116269</v>
      </c>
      <c r="E172" s="18"/>
      <c r="F172" s="18"/>
    </row>
    <row r="173" spans="2:6" x14ac:dyDescent="0.55000000000000004">
      <c r="B173" s="1">
        <v>161</v>
      </c>
      <c r="C173" s="6">
        <f t="shared" si="4"/>
        <v>-12.684612753289757</v>
      </c>
      <c r="D173" s="6">
        <f t="shared" si="5"/>
        <v>-0.31717392559734564</v>
      </c>
      <c r="E173" s="18"/>
      <c r="F173" s="18"/>
    </row>
    <row r="174" spans="2:6" x14ac:dyDescent="0.55000000000000004">
      <c r="B174" s="1">
        <v>162</v>
      </c>
      <c r="C174" s="6">
        <f t="shared" si="4"/>
        <v>9.1671542273092719</v>
      </c>
      <c r="D174" s="6">
        <f t="shared" si="5"/>
        <v>8.829681951957598</v>
      </c>
      <c r="E174" s="18"/>
      <c r="F174" s="18"/>
    </row>
    <row r="175" spans="2:6" x14ac:dyDescent="0.55000000000000004">
      <c r="B175" s="1">
        <v>163</v>
      </c>
      <c r="C175" s="6">
        <f t="shared" si="4"/>
        <v>-0.79740842665704159</v>
      </c>
      <c r="D175" s="6">
        <f t="shared" si="5"/>
        <v>-12.742218794271912</v>
      </c>
      <c r="E175" s="18"/>
      <c r="F175" s="18"/>
    </row>
    <row r="176" spans="2:6" x14ac:dyDescent="0.55000000000000004">
      <c r="B176" s="1">
        <v>164</v>
      </c>
      <c r="C176" s="6">
        <f t="shared" si="4"/>
        <v>-8.0440193172204211</v>
      </c>
      <c r="D176" s="6">
        <f t="shared" si="5"/>
        <v>9.9646250920034465</v>
      </c>
      <c r="E176" s="18"/>
      <c r="F176" s="18"/>
    </row>
    <row r="177" spans="2:6" x14ac:dyDescent="0.55000000000000004">
      <c r="B177" s="1">
        <v>165</v>
      </c>
      <c r="C177" s="6">
        <f t="shared" si="4"/>
        <v>12.701001246397212</v>
      </c>
      <c r="D177" s="6">
        <f t="shared" si="5"/>
        <v>-1.9195226852049647</v>
      </c>
      <c r="E177" s="18"/>
      <c r="F177" s="18"/>
    </row>
    <row r="178" spans="2:6" x14ac:dyDescent="0.55000000000000004">
      <c r="B178" s="1">
        <v>166</v>
      </c>
      <c r="C178" s="6">
        <f t="shared" si="4"/>
        <v>-10.694060028335624</v>
      </c>
      <c r="D178" s="6">
        <f t="shared" si="5"/>
        <v>-7.1858945240209504</v>
      </c>
      <c r="E178" s="18"/>
      <c r="F178" s="18"/>
    </row>
    <row r="179" spans="2:6" x14ac:dyDescent="0.55000000000000004">
      <c r="B179" s="1">
        <v>167</v>
      </c>
      <c r="C179" s="6">
        <f t="shared" si="4"/>
        <v>3.0403339317251445</v>
      </c>
      <c r="D179" s="6">
        <f t="shared" si="5"/>
        <v>12.560110253640321</v>
      </c>
      <c r="E179" s="18"/>
      <c r="F179" s="18"/>
    </row>
    <row r="180" spans="2:6" x14ac:dyDescent="0.55000000000000004">
      <c r="B180" s="1">
        <v>168</v>
      </c>
      <c r="C180" s="6">
        <f t="shared" si="4"/>
        <v>6.2612712016091132</v>
      </c>
      <c r="D180" s="6">
        <f t="shared" si="5"/>
        <v>-11.348853816130525</v>
      </c>
      <c r="E180" s="18"/>
      <c r="F180" s="18"/>
    </row>
    <row r="181" spans="2:6" x14ac:dyDescent="0.55000000000000004">
      <c r="B181" s="1">
        <v>169</v>
      </c>
      <c r="C181" s="6">
        <f t="shared" si="4"/>
        <v>-12.319491225375463</v>
      </c>
      <c r="D181" s="6">
        <f t="shared" si="5"/>
        <v>4.1509198917706112</v>
      </c>
      <c r="E181" s="18"/>
      <c r="F181" s="18"/>
    </row>
    <row r="182" spans="2:6" x14ac:dyDescent="0.55000000000000004">
      <c r="B182" s="1">
        <v>170</v>
      </c>
      <c r="C182" s="6">
        <f t="shared" si="4"/>
        <v>11.922930675436969</v>
      </c>
      <c r="D182" s="6">
        <f t="shared" si="5"/>
        <v>5.276715276450318</v>
      </c>
      <c r="E182" s="18"/>
      <c r="F182" s="18"/>
    </row>
    <row r="183" spans="2:6" x14ac:dyDescent="0.55000000000000004">
      <c r="B183" s="1">
        <v>171</v>
      </c>
      <c r="C183" s="6">
        <f t="shared" si="4"/>
        <v>-5.2423428739157165</v>
      </c>
      <c r="D183" s="6">
        <f t="shared" si="5"/>
        <v>-11.979893204545069</v>
      </c>
      <c r="E183" s="18"/>
      <c r="F183" s="18"/>
    </row>
    <row r="184" spans="2:6" x14ac:dyDescent="0.55000000000000004">
      <c r="B184" s="1">
        <v>172</v>
      </c>
      <c r="C184" s="6">
        <f t="shared" si="4"/>
        <v>-4.2393474021951647</v>
      </c>
      <c r="D184" s="6">
        <f t="shared" si="5"/>
        <v>12.410799071917211</v>
      </c>
      <c r="E184" s="18"/>
      <c r="F184" s="18"/>
    </row>
    <row r="185" spans="2:6" x14ac:dyDescent="0.55000000000000004">
      <c r="B185" s="1">
        <v>173</v>
      </c>
      <c r="C185" s="6">
        <f t="shared" si="4"/>
        <v>11.542870709040232</v>
      </c>
      <c r="D185" s="6">
        <f t="shared" si="5"/>
        <v>-6.3057224641099632</v>
      </c>
      <c r="E185" s="18"/>
      <c r="F185" s="18"/>
    </row>
    <row r="186" spans="2:6" x14ac:dyDescent="0.55000000000000004">
      <c r="B186" s="1">
        <v>174</v>
      </c>
      <c r="C186" s="6">
        <f t="shared" si="4"/>
        <v>-12.807602204622452</v>
      </c>
      <c r="D186" s="6">
        <f t="shared" si="5"/>
        <v>-3.1567904219555238</v>
      </c>
      <c r="E186" s="18"/>
      <c r="F186" s="18"/>
    </row>
    <row r="187" spans="2:6" x14ac:dyDescent="0.55000000000000004">
      <c r="B187" s="1">
        <v>175</v>
      </c>
      <c r="C187" s="6">
        <f t="shared" si="4"/>
        <v>7.3323083823019477</v>
      </c>
      <c r="D187" s="6">
        <f t="shared" si="5"/>
        <v>11.010778981835236</v>
      </c>
      <c r="E187" s="18"/>
      <c r="F187" s="18"/>
    </row>
    <row r="188" spans="2:6" x14ac:dyDescent="0.55000000000000004">
      <c r="B188" s="1">
        <v>176</v>
      </c>
      <c r="C188" s="6">
        <f t="shared" si="4"/>
        <v>2.0371122577503948</v>
      </c>
      <c r="D188" s="6">
        <f t="shared" si="5"/>
        <v>-13.10916372806912</v>
      </c>
      <c r="E188" s="18"/>
      <c r="F188" s="18"/>
    </row>
    <row r="189" spans="2:6" x14ac:dyDescent="0.55000000000000004">
      <c r="B189" s="1">
        <v>177</v>
      </c>
      <c r="C189" s="6">
        <f t="shared" si="4"/>
        <v>-10.386762639241693</v>
      </c>
      <c r="D189" s="6">
        <f t="shared" si="5"/>
        <v>8.3135529033051156</v>
      </c>
      <c r="E189" s="18"/>
      <c r="F189" s="18"/>
    </row>
    <row r="190" spans="2:6" x14ac:dyDescent="0.55000000000000004">
      <c r="B190" s="1">
        <v>178</v>
      </c>
      <c r="C190" s="6">
        <f t="shared" si="4"/>
        <v>13.312028296811508</v>
      </c>
      <c r="D190" s="6">
        <f t="shared" si="5"/>
        <v>0.88876466226424489</v>
      </c>
      <c r="E190" s="18"/>
      <c r="F190" s="18"/>
    </row>
    <row r="191" spans="2:6" x14ac:dyDescent="0.55000000000000004">
      <c r="B191" s="1">
        <v>179</v>
      </c>
      <c r="C191" s="6">
        <f t="shared" si="4"/>
        <v>-9.2411822434904334</v>
      </c>
      <c r="D191" s="6">
        <f t="shared" si="5"/>
        <v>-9.6747377609213334</v>
      </c>
      <c r="E191" s="18"/>
      <c r="F191" s="18"/>
    </row>
    <row r="192" spans="2:6" x14ac:dyDescent="0.55000000000000004">
      <c r="B192" s="1">
        <v>180</v>
      </c>
      <c r="C192" s="6">
        <f t="shared" si="4"/>
        <v>0.27948169517084837</v>
      </c>
      <c r="D192" s="6">
        <f t="shared" si="5"/>
        <v>13.413496560631177</v>
      </c>
      <c r="E192" s="18"/>
      <c r="F192" s="18"/>
    </row>
    <row r="193" spans="2:6" x14ac:dyDescent="0.55000000000000004">
      <c r="B193" s="1">
        <v>181</v>
      </c>
      <c r="C193" s="6">
        <f t="shared" si="4"/>
        <v>8.879367519483262</v>
      </c>
      <c r="D193" s="6">
        <f t="shared" si="5"/>
        <v>-10.107266319531984</v>
      </c>
      <c r="E193" s="18"/>
      <c r="F193" s="18"/>
    </row>
    <row r="194" spans="2:6" x14ac:dyDescent="0.55000000000000004">
      <c r="B194" s="1">
        <v>182</v>
      </c>
      <c r="C194" s="6">
        <f t="shared" si="4"/>
        <v>-13.411654281616796</v>
      </c>
      <c r="D194" s="6">
        <f t="shared" si="5"/>
        <v>1.4586053031543116</v>
      </c>
      <c r="E194" s="18"/>
      <c r="F194" s="18"/>
    </row>
    <row r="195" spans="2:6" x14ac:dyDescent="0.55000000000000004">
      <c r="B195" s="1">
        <v>183</v>
      </c>
      <c r="C195" s="6">
        <f t="shared" si="4"/>
        <v>10.904286294945292</v>
      </c>
      <c r="D195" s="6">
        <f t="shared" si="5"/>
        <v>8.0060315011788639</v>
      </c>
      <c r="E195" s="18"/>
      <c r="F195" s="18"/>
    </row>
    <row r="196" spans="2:6" x14ac:dyDescent="0.55000000000000004">
      <c r="B196" s="1">
        <v>184</v>
      </c>
      <c r="C196" s="6">
        <f t="shared" si="4"/>
        <v>-2.6394045090252978</v>
      </c>
      <c r="D196" s="6">
        <f t="shared" si="5"/>
        <v>-13.305395290548001</v>
      </c>
      <c r="E196" s="18"/>
      <c r="F196" s="18"/>
    </row>
    <row r="197" spans="2:6" x14ac:dyDescent="0.55000000000000004">
      <c r="B197" s="1">
        <v>185</v>
      </c>
      <c r="C197" s="6">
        <f t="shared" si="4"/>
        <v>-7.0607889219666156</v>
      </c>
      <c r="D197" s="6">
        <f t="shared" si="5"/>
        <v>11.625199344503024</v>
      </c>
      <c r="E197" s="18"/>
      <c r="F197" s="18"/>
    </row>
    <row r="198" spans="2:6" x14ac:dyDescent="0.55000000000000004">
      <c r="B198" s="1">
        <v>186</v>
      </c>
      <c r="C198" s="6">
        <f t="shared" si="4"/>
        <v>13.094438048683928</v>
      </c>
      <c r="D198" s="6">
        <f t="shared" si="5"/>
        <v>-3.8125702864575</v>
      </c>
      <c r="E198" s="18"/>
      <c r="F198" s="18"/>
    </row>
    <row r="199" spans="2:6" x14ac:dyDescent="0.55000000000000004">
      <c r="B199" s="1">
        <v>187</v>
      </c>
      <c r="C199" s="6">
        <f t="shared" si="4"/>
        <v>-12.263500085703948</v>
      </c>
      <c r="D199" s="6">
        <f t="shared" si="5"/>
        <v>-6.0503359946319755</v>
      </c>
      <c r="E199" s="18"/>
      <c r="F199" s="18"/>
    </row>
    <row r="200" spans="2:6" x14ac:dyDescent="0.55000000000000004">
      <c r="B200" s="1">
        <v>188</v>
      </c>
      <c r="C200" s="6">
        <f t="shared" si="4"/>
        <v>4.9687604898986253</v>
      </c>
      <c r="D200" s="6">
        <f t="shared" si="5"/>
        <v>12.779335631949822</v>
      </c>
      <c r="E200" s="18"/>
      <c r="F200" s="18"/>
    </row>
    <row r="201" spans="2:6" x14ac:dyDescent="0.55000000000000004">
      <c r="B201" s="1">
        <v>189</v>
      </c>
      <c r="C201" s="6">
        <f t="shared" si="4"/>
        <v>4.9819577521553713</v>
      </c>
      <c r="D201" s="6">
        <f t="shared" si="5"/>
        <v>-12.813278150252534</v>
      </c>
      <c r="E201" s="18"/>
      <c r="F201" s="18"/>
    </row>
    <row r="202" spans="2:6" x14ac:dyDescent="0.55000000000000004">
      <c r="B202" s="1">
        <v>190</v>
      </c>
      <c r="C202" s="6">
        <f t="shared" si="4"/>
        <v>-12.361479007195598</v>
      </c>
      <c r="D202" s="6">
        <f t="shared" si="5"/>
        <v>6.0986749999210925</v>
      </c>
      <c r="E202" s="18"/>
      <c r="F202" s="18"/>
    </row>
    <row r="203" spans="2:6" x14ac:dyDescent="0.55000000000000004">
      <c r="B203" s="1">
        <v>191</v>
      </c>
      <c r="C203" s="6">
        <f t="shared" si="4"/>
        <v>13.26927139662094</v>
      </c>
      <c r="D203" s="6">
        <f t="shared" si="5"/>
        <v>3.8634746799762234</v>
      </c>
      <c r="E203" s="18"/>
      <c r="F203" s="18"/>
    </row>
    <row r="204" spans="2:6" x14ac:dyDescent="0.55000000000000004">
      <c r="B204" s="1">
        <v>192</v>
      </c>
      <c r="C204" s="6">
        <f t="shared" si="4"/>
        <v>-7.1931311524136392</v>
      </c>
      <c r="D204" s="6">
        <f t="shared" si="5"/>
        <v>-11.843093524251865</v>
      </c>
      <c r="E204" s="18"/>
      <c r="F204" s="18"/>
    </row>
    <row r="205" spans="2:6" x14ac:dyDescent="0.55000000000000004">
      <c r="B205" s="1">
        <v>193</v>
      </c>
      <c r="C205" s="6">
        <f t="shared" ref="C205:C268" si="6">B205^$C$9*COS(2*PI()*B205/$C$8)</f>
        <v>-2.703184554441997</v>
      </c>
      <c r="D205" s="6">
        <f t="shared" ref="D205:D268" si="7">B205^$C$9*SIN(2*PI()*B205/$C$8)</f>
        <v>13.626914297251092</v>
      </c>
      <c r="E205" s="18"/>
      <c r="F205" s="18"/>
    </row>
    <row r="206" spans="2:6" x14ac:dyDescent="0.55000000000000004">
      <c r="B206" s="1">
        <v>194</v>
      </c>
      <c r="C206" s="6">
        <f t="shared" si="6"/>
        <v>11.227228602454309</v>
      </c>
      <c r="D206" s="6">
        <f t="shared" si="7"/>
        <v>-8.2431388383450077</v>
      </c>
      <c r="E206" s="18"/>
      <c r="F206" s="18"/>
    </row>
    <row r="207" spans="2:6" x14ac:dyDescent="0.55000000000000004">
      <c r="B207" s="1">
        <v>195</v>
      </c>
      <c r="C207" s="6">
        <f t="shared" si="6"/>
        <v>-13.88238107032598</v>
      </c>
      <c r="D207" s="6">
        <f t="shared" si="7"/>
        <v>-1.5097999265647437</v>
      </c>
      <c r="E207" s="18"/>
      <c r="F207" s="18"/>
    </row>
    <row r="208" spans="2:6" x14ac:dyDescent="0.55000000000000004">
      <c r="B208" s="1">
        <v>196</v>
      </c>
      <c r="C208" s="6">
        <f t="shared" si="6"/>
        <v>9.2399746594589871</v>
      </c>
      <c r="D208" s="6">
        <f t="shared" si="7"/>
        <v>10.517740645811521</v>
      </c>
      <c r="E208" s="18"/>
      <c r="F208" s="18"/>
    </row>
    <row r="209" spans="2:6" x14ac:dyDescent="0.55000000000000004">
      <c r="B209" s="1">
        <v>197</v>
      </c>
      <c r="C209" s="6">
        <f t="shared" si="6"/>
        <v>0.29238172853343658</v>
      </c>
      <c r="D209" s="6">
        <f t="shared" si="7"/>
        <v>-14.032623166208797</v>
      </c>
      <c r="E209" s="18"/>
      <c r="F209" s="18"/>
    </row>
    <row r="210" spans="2:6" x14ac:dyDescent="0.55000000000000004">
      <c r="B210" s="1">
        <v>198</v>
      </c>
      <c r="C210" s="6">
        <f t="shared" si="6"/>
        <v>-9.7192692764370641</v>
      </c>
      <c r="D210" s="6">
        <f t="shared" si="7"/>
        <v>10.175254529106708</v>
      </c>
      <c r="E210" s="18"/>
      <c r="F210" s="18"/>
    </row>
    <row r="211" spans="2:6" x14ac:dyDescent="0.55000000000000004">
      <c r="B211" s="1">
        <v>199</v>
      </c>
      <c r="C211" s="6">
        <f t="shared" si="6"/>
        <v>14.075400762180148</v>
      </c>
      <c r="D211" s="6">
        <f t="shared" si="7"/>
        <v>-0.93973048477660648</v>
      </c>
      <c r="E211" s="18"/>
      <c r="F211" s="18"/>
    </row>
    <row r="212" spans="2:6" x14ac:dyDescent="0.55000000000000004">
      <c r="B212" s="1">
        <v>200</v>
      </c>
      <c r="C212" s="6">
        <f t="shared" si="6"/>
        <v>-11.041004116090908</v>
      </c>
      <c r="D212" s="6">
        <f t="shared" si="7"/>
        <v>-8.8372070309834658</v>
      </c>
      <c r="E212" s="18"/>
      <c r="F212" s="18"/>
    </row>
    <row r="213" spans="2:6" x14ac:dyDescent="0.55000000000000004">
      <c r="B213" s="1">
        <v>201</v>
      </c>
      <c r="C213" s="6">
        <f t="shared" si="6"/>
        <v>2.1769911164218163</v>
      </c>
      <c r="D213" s="6">
        <f t="shared" si="7"/>
        <v>14.009307965742652</v>
      </c>
      <c r="E213" s="18"/>
      <c r="F213" s="18"/>
    </row>
    <row r="214" spans="2:6" x14ac:dyDescent="0.55000000000000004">
      <c r="B214" s="1">
        <v>202</v>
      </c>
      <c r="C214" s="6">
        <f t="shared" si="6"/>
        <v>7.8776627190129682</v>
      </c>
      <c r="D214" s="6">
        <f t="shared" si="7"/>
        <v>-11.829726543140092</v>
      </c>
      <c r="E214" s="18"/>
      <c r="F214" s="18"/>
    </row>
    <row r="215" spans="2:6" x14ac:dyDescent="0.55000000000000004">
      <c r="B215" s="1">
        <v>203</v>
      </c>
      <c r="C215" s="6">
        <f t="shared" si="6"/>
        <v>-13.833791476084201</v>
      </c>
      <c r="D215" s="6">
        <f t="shared" si="7"/>
        <v>3.4097233606584698</v>
      </c>
      <c r="E215" s="18"/>
      <c r="F215" s="18"/>
    </row>
    <row r="216" spans="2:6" x14ac:dyDescent="0.55000000000000004">
      <c r="B216" s="1">
        <v>204</v>
      </c>
      <c r="C216" s="6">
        <f t="shared" si="6"/>
        <v>12.534466770216575</v>
      </c>
      <c r="D216" s="6">
        <f t="shared" si="7"/>
        <v>6.8474186951242046</v>
      </c>
      <c r="E216" s="18"/>
      <c r="F216" s="18"/>
    </row>
    <row r="217" spans="2:6" x14ac:dyDescent="0.55000000000000004">
      <c r="B217" s="1">
        <v>205</v>
      </c>
      <c r="C217" s="6">
        <f t="shared" si="6"/>
        <v>-4.6281956975160217</v>
      </c>
      <c r="D217" s="6">
        <f t="shared" si="7"/>
        <v>-13.5491625049482</v>
      </c>
      <c r="E217" s="18"/>
      <c r="F217" s="18"/>
    </row>
    <row r="218" spans="2:6" x14ac:dyDescent="0.55000000000000004">
      <c r="B218" s="1">
        <v>206</v>
      </c>
      <c r="C218" s="6">
        <f t="shared" si="6"/>
        <v>-5.7538823478012207</v>
      </c>
      <c r="D218" s="6">
        <f t="shared" si="7"/>
        <v>13.148872116180213</v>
      </c>
      <c r="E218" s="18"/>
      <c r="F218" s="18"/>
    </row>
    <row r="219" spans="2:6" x14ac:dyDescent="0.55000000000000004">
      <c r="B219" s="1">
        <v>207</v>
      </c>
      <c r="C219" s="6">
        <f t="shared" si="6"/>
        <v>13.156601811723469</v>
      </c>
      <c r="D219" s="6">
        <f t="shared" si="7"/>
        <v>-5.8226994399294512</v>
      </c>
      <c r="E219" s="18"/>
      <c r="F219" s="18"/>
    </row>
    <row r="220" spans="2:6" x14ac:dyDescent="0.55000000000000004">
      <c r="B220" s="1">
        <v>208</v>
      </c>
      <c r="C220" s="6">
        <f t="shared" si="6"/>
        <v>-13.667248400223709</v>
      </c>
      <c r="D220" s="6">
        <f t="shared" si="7"/>
        <v>-4.6050321569542199</v>
      </c>
      <c r="E220" s="18"/>
      <c r="F220" s="18"/>
    </row>
    <row r="221" spans="2:6" x14ac:dyDescent="0.55000000000000004">
      <c r="B221" s="1">
        <v>209</v>
      </c>
      <c r="C221" s="6">
        <f t="shared" si="6"/>
        <v>6.9836267123160134</v>
      </c>
      <c r="D221" s="6">
        <f t="shared" si="7"/>
        <v>12.658157762606146</v>
      </c>
      <c r="E221" s="18"/>
      <c r="F221" s="18"/>
    </row>
    <row r="222" spans="2:6" x14ac:dyDescent="0.55000000000000004">
      <c r="B222" s="1">
        <v>210</v>
      </c>
      <c r="C222" s="6">
        <f t="shared" si="6"/>
        <v>3.4093587184229261</v>
      </c>
      <c r="D222" s="6">
        <f t="shared" si="7"/>
        <v>-14.084611216825033</v>
      </c>
      <c r="E222" s="18"/>
      <c r="F222" s="18"/>
    </row>
    <row r="223" spans="2:6" x14ac:dyDescent="0.55000000000000004">
      <c r="B223" s="1">
        <v>211</v>
      </c>
      <c r="C223" s="6">
        <f t="shared" si="6"/>
        <v>-12.056737379788096</v>
      </c>
      <c r="D223" s="6">
        <f t="shared" si="7"/>
        <v>8.1015482319628553</v>
      </c>
      <c r="E223" s="18"/>
      <c r="F223" s="18"/>
    </row>
    <row r="224" spans="2:6" x14ac:dyDescent="0.55000000000000004">
      <c r="B224" s="1">
        <v>212</v>
      </c>
      <c r="C224" s="6">
        <f t="shared" si="6"/>
        <v>14.39673189432839</v>
      </c>
      <c r="D224" s="6">
        <f t="shared" si="7"/>
        <v>2.1758011772282169</v>
      </c>
      <c r="E224" s="18"/>
      <c r="F224" s="18"/>
    </row>
    <row r="225" spans="2:6" x14ac:dyDescent="0.55000000000000004">
      <c r="B225" s="1">
        <v>213</v>
      </c>
      <c r="C225" s="6">
        <f t="shared" si="6"/>
        <v>-9.1672902622115693</v>
      </c>
      <c r="D225" s="6">
        <f t="shared" si="7"/>
        <v>-11.35609040331931</v>
      </c>
      <c r="E225" s="18"/>
      <c r="F225" s="18"/>
    </row>
    <row r="226" spans="2:6" x14ac:dyDescent="0.55000000000000004">
      <c r="B226" s="1">
        <v>214</v>
      </c>
      <c r="C226" s="6">
        <f t="shared" si="6"/>
        <v>-0.91367955130410516</v>
      </c>
      <c r="D226" s="6">
        <f t="shared" si="7"/>
        <v>14.600177727600741</v>
      </c>
      <c r="E226" s="18"/>
      <c r="F226" s="18"/>
    </row>
    <row r="227" spans="2:6" x14ac:dyDescent="0.55000000000000004">
      <c r="B227" s="1">
        <v>215</v>
      </c>
      <c r="C227" s="6">
        <f t="shared" si="6"/>
        <v>10.560786445077834</v>
      </c>
      <c r="D227" s="6">
        <f t="shared" si="7"/>
        <v>-10.172010109189838</v>
      </c>
      <c r="E227" s="18"/>
      <c r="F227" s="18"/>
    </row>
    <row r="228" spans="2:6" x14ac:dyDescent="0.55000000000000004">
      <c r="B228" s="1">
        <v>216</v>
      </c>
      <c r="C228" s="6">
        <f t="shared" si="6"/>
        <v>-14.692346119008148</v>
      </c>
      <c r="D228" s="6">
        <f t="shared" si="7"/>
        <v>0.36737653608550136</v>
      </c>
      <c r="E228" s="18"/>
      <c r="F228" s="18"/>
    </row>
    <row r="229" spans="2:6" x14ac:dyDescent="0.55000000000000004">
      <c r="B229" s="1">
        <v>217</v>
      </c>
      <c r="C229" s="6">
        <f t="shared" si="6"/>
        <v>11.107269541572581</v>
      </c>
      <c r="D229" s="6">
        <f t="shared" si="7"/>
        <v>9.6761853708397911</v>
      </c>
      <c r="E229" s="18"/>
      <c r="F229" s="18"/>
    </row>
    <row r="230" spans="2:6" x14ac:dyDescent="0.55000000000000004">
      <c r="B230" s="1">
        <v>218</v>
      </c>
      <c r="C230" s="6">
        <f t="shared" si="6"/>
        <v>-1.6575021647428283</v>
      </c>
      <c r="D230" s="6">
        <f t="shared" si="7"/>
        <v>-14.671492309028174</v>
      </c>
      <c r="E230" s="18"/>
      <c r="F230" s="18"/>
    </row>
    <row r="231" spans="2:6" x14ac:dyDescent="0.55000000000000004">
      <c r="B231" s="1">
        <v>219</v>
      </c>
      <c r="C231" s="6">
        <f t="shared" si="6"/>
        <v>-8.7084011020896472</v>
      </c>
      <c r="D231" s="6">
        <f t="shared" si="7"/>
        <v>11.965105525866615</v>
      </c>
      <c r="E231" s="18"/>
      <c r="F231" s="18"/>
    </row>
    <row r="232" spans="2:6" x14ac:dyDescent="0.55000000000000004">
      <c r="B232" s="1">
        <v>220</v>
      </c>
      <c r="C232" s="6">
        <f t="shared" si="6"/>
        <v>14.536750427705414</v>
      </c>
      <c r="D232" s="6">
        <f t="shared" si="7"/>
        <v>-2.9466738880654066</v>
      </c>
      <c r="E232" s="18"/>
      <c r="F232" s="18"/>
    </row>
    <row r="233" spans="2:6" x14ac:dyDescent="0.55000000000000004">
      <c r="B233" s="1">
        <v>221</v>
      </c>
      <c r="C233" s="6">
        <f t="shared" si="6"/>
        <v>-12.738097687542185</v>
      </c>
      <c r="D233" s="6">
        <f t="shared" si="7"/>
        <v>-7.6642590837361739</v>
      </c>
      <c r="E233" s="18"/>
      <c r="F233" s="18"/>
    </row>
    <row r="234" spans="2:6" x14ac:dyDescent="0.55000000000000004">
      <c r="B234" s="1">
        <v>222</v>
      </c>
      <c r="C234" s="6">
        <f t="shared" si="6"/>
        <v>4.2247883635721708</v>
      </c>
      <c r="D234" s="6">
        <f t="shared" si="7"/>
        <v>14.288147650518773</v>
      </c>
      <c r="E234" s="18"/>
      <c r="F234" s="18"/>
    </row>
    <row r="235" spans="2:6" x14ac:dyDescent="0.55000000000000004">
      <c r="B235" s="1">
        <v>223</v>
      </c>
      <c r="C235" s="6">
        <f t="shared" si="6"/>
        <v>6.5512477166672332</v>
      </c>
      <c r="D235" s="6">
        <f t="shared" si="7"/>
        <v>-13.419431931153508</v>
      </c>
      <c r="E235" s="18"/>
      <c r="F235" s="18"/>
    </row>
    <row r="236" spans="2:6" x14ac:dyDescent="0.55000000000000004">
      <c r="B236" s="1">
        <v>224</v>
      </c>
      <c r="C236" s="6">
        <f t="shared" si="6"/>
        <v>-13.926611296641507</v>
      </c>
      <c r="D236" s="6">
        <f t="shared" si="7"/>
        <v>5.4817422223465737</v>
      </c>
      <c r="E236" s="18"/>
      <c r="F236" s="18"/>
    </row>
    <row r="237" spans="2:6" x14ac:dyDescent="0.55000000000000004">
      <c r="B237" s="1">
        <v>225</v>
      </c>
      <c r="C237" s="6">
        <f t="shared" si="6"/>
        <v>14.002959680095676</v>
      </c>
      <c r="D237" s="6">
        <f t="shared" si="7"/>
        <v>5.3774641047258314</v>
      </c>
      <c r="E237" s="18"/>
      <c r="F237" s="18"/>
    </row>
    <row r="238" spans="2:6" x14ac:dyDescent="0.55000000000000004">
      <c r="B238" s="1">
        <v>226</v>
      </c>
      <c r="C238" s="6">
        <f t="shared" si="6"/>
        <v>-6.7075125425380584</v>
      </c>
      <c r="D238" s="6">
        <f t="shared" si="7"/>
        <v>-13.453968763591456</v>
      </c>
      <c r="E238" s="18"/>
      <c r="F238" s="18"/>
    </row>
    <row r="239" spans="2:6" x14ac:dyDescent="0.55000000000000004">
      <c r="B239" s="1">
        <v>227</v>
      </c>
      <c r="C239" s="6">
        <f t="shared" si="6"/>
        <v>-4.151554513811651</v>
      </c>
      <c r="D239" s="6">
        <f t="shared" si="7"/>
        <v>14.483252228655347</v>
      </c>
      <c r="E239" s="18"/>
      <c r="F239" s="18"/>
    </row>
    <row r="240" spans="2:6" x14ac:dyDescent="0.55000000000000004">
      <c r="B240" s="1">
        <v>228</v>
      </c>
      <c r="C240" s="6">
        <f t="shared" si="6"/>
        <v>12.872940249462353</v>
      </c>
      <c r="D240" s="6">
        <f t="shared" si="7"/>
        <v>-7.8922372831645244</v>
      </c>
      <c r="E240" s="18"/>
      <c r="F240" s="18"/>
    </row>
    <row r="241" spans="2:6" x14ac:dyDescent="0.55000000000000004">
      <c r="B241" s="1">
        <v>229</v>
      </c>
      <c r="C241" s="6">
        <f t="shared" si="6"/>
        <v>-14.855649735306155</v>
      </c>
      <c r="D241" s="6">
        <f t="shared" si="7"/>
        <v>-2.8826499860194921</v>
      </c>
      <c r="E241" s="18"/>
      <c r="F241" s="18"/>
    </row>
    <row r="242" spans="2:6" x14ac:dyDescent="0.55000000000000004">
      <c r="B242" s="1">
        <v>230</v>
      </c>
      <c r="C242" s="6">
        <f t="shared" si="6"/>
        <v>9.0262950307658247</v>
      </c>
      <c r="D242" s="6">
        <f t="shared" si="7"/>
        <v>12.18712427185233</v>
      </c>
      <c r="E242" s="18"/>
      <c r="F242" s="18"/>
    </row>
    <row r="243" spans="2:6" x14ac:dyDescent="0.55000000000000004">
      <c r="B243" s="1">
        <v>231</v>
      </c>
      <c r="C243" s="6">
        <f t="shared" si="6"/>
        <v>1.5802975934926433</v>
      </c>
      <c r="D243" s="6">
        <f t="shared" si="7"/>
        <v>-15.116304426545575</v>
      </c>
      <c r="E243" s="18"/>
      <c r="F243" s="18"/>
    </row>
    <row r="244" spans="2:6" x14ac:dyDescent="0.55000000000000004">
      <c r="B244" s="1">
        <v>232</v>
      </c>
      <c r="C244" s="6">
        <f t="shared" si="6"/>
        <v>-11.40097605074004</v>
      </c>
      <c r="D244" s="6">
        <f t="shared" si="7"/>
        <v>10.100383413041905</v>
      </c>
      <c r="E244" s="18"/>
      <c r="F244" s="18"/>
    </row>
    <row r="245" spans="2:6" x14ac:dyDescent="0.55000000000000004">
      <c r="B245" s="1">
        <v>233</v>
      </c>
      <c r="C245" s="6">
        <f t="shared" si="6"/>
        <v>15.262217624555005</v>
      </c>
      <c r="D245" s="6">
        <f t="shared" si="7"/>
        <v>0.25438785490382054</v>
      </c>
      <c r="E245" s="18"/>
      <c r="F245" s="18"/>
    </row>
    <row r="246" spans="2:6" x14ac:dyDescent="0.55000000000000004">
      <c r="B246" s="1">
        <v>234</v>
      </c>
      <c r="C246" s="6">
        <f t="shared" si="6"/>
        <v>-11.10559554029234</v>
      </c>
      <c r="D246" s="6">
        <f t="shared" si="7"/>
        <v>-10.519778880539215</v>
      </c>
      <c r="E246" s="18"/>
      <c r="F246" s="18"/>
    </row>
    <row r="247" spans="2:6" x14ac:dyDescent="0.55000000000000004">
      <c r="B247" s="1">
        <v>235</v>
      </c>
      <c r="C247" s="6">
        <f t="shared" si="6"/>
        <v>1.0849211284054343</v>
      </c>
      <c r="D247" s="6">
        <f t="shared" si="7"/>
        <v>15.291270259371505</v>
      </c>
      <c r="E247" s="18"/>
      <c r="F247" s="18"/>
    </row>
    <row r="248" spans="2:6" x14ac:dyDescent="0.55000000000000004">
      <c r="B248" s="1">
        <v>236</v>
      </c>
      <c r="C248" s="6">
        <f t="shared" si="6"/>
        <v>9.5496086737530863</v>
      </c>
      <c r="D248" s="6">
        <f t="shared" si="7"/>
        <v>-12.033493847514933</v>
      </c>
      <c r="E248" s="18"/>
      <c r="F248" s="18"/>
    </row>
    <row r="249" spans="2:6" x14ac:dyDescent="0.55000000000000004">
      <c r="B249" s="1">
        <v>237</v>
      </c>
      <c r="C249" s="6">
        <f t="shared" si="6"/>
        <v>-15.202246576643862</v>
      </c>
      <c r="D249" s="6">
        <f t="shared" si="7"/>
        <v>2.4272822297623304</v>
      </c>
      <c r="E249" s="18"/>
      <c r="F249" s="18"/>
    </row>
    <row r="250" spans="2:6" x14ac:dyDescent="0.55000000000000004">
      <c r="B250" s="1">
        <v>238</v>
      </c>
      <c r="C250" s="6">
        <f t="shared" si="6"/>
        <v>12.87618072699148</v>
      </c>
      <c r="D250" s="6">
        <f t="shared" si="7"/>
        <v>8.4972919148310506</v>
      </c>
      <c r="E250" s="18"/>
      <c r="F250" s="18"/>
    </row>
    <row r="251" spans="2:6" x14ac:dyDescent="0.55000000000000004">
      <c r="B251" s="1">
        <v>239</v>
      </c>
      <c r="C251" s="6">
        <f t="shared" si="6"/>
        <v>-3.7622399358239704</v>
      </c>
      <c r="D251" s="6">
        <f t="shared" si="7"/>
        <v>-14.994850805036082</v>
      </c>
      <c r="E251" s="18"/>
      <c r="F251" s="18"/>
    </row>
    <row r="252" spans="2:6" x14ac:dyDescent="0.55000000000000004">
      <c r="B252" s="1">
        <v>240</v>
      </c>
      <c r="C252" s="6">
        <f t="shared" si="6"/>
        <v>-7.3703573172312096</v>
      </c>
      <c r="D252" s="6">
        <f t="shared" si="7"/>
        <v>13.626365363380522</v>
      </c>
      <c r="E252" s="18"/>
      <c r="F252" s="18"/>
    </row>
    <row r="253" spans="2:6" x14ac:dyDescent="0.55000000000000004">
      <c r="B253" s="1">
        <v>241</v>
      </c>
      <c r="C253" s="6">
        <f t="shared" si="6"/>
        <v>14.669716602545332</v>
      </c>
      <c r="D253" s="6">
        <f t="shared" si="7"/>
        <v>-5.0793124338837297</v>
      </c>
      <c r="E253" s="18"/>
      <c r="F253" s="18"/>
    </row>
    <row r="254" spans="2:6" x14ac:dyDescent="0.55000000000000004">
      <c r="B254" s="1">
        <v>242</v>
      </c>
      <c r="C254" s="6">
        <f t="shared" si="6"/>
        <v>-14.277426210209162</v>
      </c>
      <c r="D254" s="6">
        <f t="shared" si="7"/>
        <v>-6.1769815291963122</v>
      </c>
      <c r="E254" s="18"/>
      <c r="F254" s="18"/>
    </row>
    <row r="255" spans="2:6" x14ac:dyDescent="0.55000000000000004">
      <c r="B255" s="1">
        <v>243</v>
      </c>
      <c r="C255" s="6">
        <f t="shared" si="6"/>
        <v>6.3680744997401684</v>
      </c>
      <c r="D255" s="6">
        <f t="shared" si="7"/>
        <v>14.228409157940288</v>
      </c>
      <c r="E255" s="18"/>
      <c r="F255" s="18"/>
    </row>
    <row r="256" spans="2:6" x14ac:dyDescent="0.55000000000000004">
      <c r="B256" s="1">
        <v>244</v>
      </c>
      <c r="C256" s="6">
        <f t="shared" si="6"/>
        <v>4.9259292836177773</v>
      </c>
      <c r="D256" s="6">
        <f t="shared" si="7"/>
        <v>-14.823468578332022</v>
      </c>
      <c r="E256" s="18"/>
      <c r="F256" s="18"/>
    </row>
    <row r="257" spans="2:6" x14ac:dyDescent="0.55000000000000004">
      <c r="B257" s="1">
        <v>245</v>
      </c>
      <c r="C257" s="6">
        <f t="shared" si="6"/>
        <v>-13.673419881814862</v>
      </c>
      <c r="D257" s="6">
        <f t="shared" si="7"/>
        <v>7.6182405275490011</v>
      </c>
      <c r="E257" s="18"/>
      <c r="F257" s="18"/>
    </row>
    <row r="258" spans="2:6" x14ac:dyDescent="0.55000000000000004">
      <c r="B258" s="1">
        <v>246</v>
      </c>
      <c r="C258" s="6">
        <f t="shared" si="6"/>
        <v>15.259376842935193</v>
      </c>
      <c r="D258" s="6">
        <f t="shared" si="7"/>
        <v>3.6264884344629023</v>
      </c>
      <c r="E258" s="18"/>
      <c r="F258" s="18"/>
    </row>
    <row r="259" spans="2:6" x14ac:dyDescent="0.55000000000000004">
      <c r="B259" s="1">
        <v>247</v>
      </c>
      <c r="C259" s="6">
        <f t="shared" si="6"/>
        <v>-8.819747038073416</v>
      </c>
      <c r="D259" s="6">
        <f t="shared" si="7"/>
        <v>-13.008153680841691</v>
      </c>
      <c r="E259" s="18"/>
      <c r="F259" s="18"/>
    </row>
    <row r="260" spans="2:6" x14ac:dyDescent="0.55000000000000004">
      <c r="B260" s="1">
        <v>248</v>
      </c>
      <c r="C260" s="6">
        <f t="shared" si="6"/>
        <v>-2.2884003658645478</v>
      </c>
      <c r="D260" s="6">
        <f t="shared" si="7"/>
        <v>15.580860815934111</v>
      </c>
      <c r="E260" s="18"/>
      <c r="F260" s="18"/>
    </row>
    <row r="261" spans="2:6" x14ac:dyDescent="0.55000000000000004">
      <c r="B261" s="1">
        <v>249</v>
      </c>
      <c r="C261" s="6">
        <f t="shared" si="6"/>
        <v>12.236908868306044</v>
      </c>
      <c r="D261" s="6">
        <f t="shared" si="7"/>
        <v>-9.9628340018677868</v>
      </c>
      <c r="E261" s="18"/>
      <c r="F261" s="18"/>
    </row>
    <row r="262" spans="2:6" x14ac:dyDescent="0.55000000000000004">
      <c r="B262" s="1">
        <v>250</v>
      </c>
      <c r="C262" s="6">
        <f t="shared" si="6"/>
        <v>-15.784495874650034</v>
      </c>
      <c r="D262" s="6">
        <f t="shared" si="7"/>
        <v>-0.92178630015641616</v>
      </c>
      <c r="E262" s="18"/>
      <c r="F262" s="18"/>
    </row>
    <row r="263" spans="2:6" x14ac:dyDescent="0.55000000000000004">
      <c r="B263" s="1">
        <v>251</v>
      </c>
      <c r="C263" s="6">
        <f t="shared" si="6"/>
        <v>11.038124319439225</v>
      </c>
      <c r="D263" s="6">
        <f t="shared" si="7"/>
        <v>11.364849823407448</v>
      </c>
      <c r="E263" s="18"/>
      <c r="F263" s="18"/>
    </row>
    <row r="264" spans="2:6" x14ac:dyDescent="0.55000000000000004">
      <c r="B264" s="1">
        <v>252</v>
      </c>
      <c r="C264" s="6">
        <f t="shared" si="6"/>
        <v>-0.46292993294246765</v>
      </c>
      <c r="D264" s="6">
        <f t="shared" si="7"/>
        <v>-15.867756485312784</v>
      </c>
      <c r="E264" s="18"/>
      <c r="F264" s="18"/>
    </row>
    <row r="265" spans="2:6" x14ac:dyDescent="0.55000000000000004">
      <c r="B265" s="1">
        <v>253</v>
      </c>
      <c r="C265" s="6">
        <f t="shared" si="6"/>
        <v>-10.397972570592428</v>
      </c>
      <c r="D265" s="6">
        <f t="shared" si="7"/>
        <v>12.036700811319001</v>
      </c>
      <c r="E265" s="18"/>
      <c r="F265" s="18"/>
    </row>
    <row r="266" spans="2:6" x14ac:dyDescent="0.55000000000000004">
      <c r="B266" s="1">
        <v>254</v>
      </c>
      <c r="C266" s="6">
        <f t="shared" si="6"/>
        <v>15.829042810687451</v>
      </c>
      <c r="D266" s="6">
        <f t="shared" si="7"/>
        <v>-1.8551020719690718</v>
      </c>
      <c r="E266" s="18"/>
      <c r="F266" s="18"/>
    </row>
    <row r="267" spans="2:6" x14ac:dyDescent="0.55000000000000004">
      <c r="B267" s="1">
        <v>255</v>
      </c>
      <c r="C267" s="6">
        <f t="shared" si="6"/>
        <v>-12.950180086998888</v>
      </c>
      <c r="D267" s="6">
        <f t="shared" si="7"/>
        <v>-9.343063507988024</v>
      </c>
      <c r="E267" s="18"/>
      <c r="F267" s="18"/>
    </row>
    <row r="268" spans="2:6" x14ac:dyDescent="0.55000000000000004">
      <c r="B268" s="1">
        <v>256</v>
      </c>
      <c r="C268" s="6">
        <f t="shared" si="6"/>
        <v>3.243943923065971</v>
      </c>
      <c r="D268" s="6">
        <f t="shared" si="7"/>
        <v>15.66770014469269</v>
      </c>
      <c r="E268" s="18"/>
      <c r="F268" s="18"/>
    </row>
    <row r="269" spans="2:6" x14ac:dyDescent="0.55000000000000004">
      <c r="B269" s="1">
        <v>257</v>
      </c>
      <c r="C269" s="6">
        <f t="shared" ref="C269:C332" si="8">B269^$C$9*COS(2*PI()*B269/$C$8)</f>
        <v>8.2076515701603814</v>
      </c>
      <c r="D269" s="6">
        <f t="shared" ref="D269:D332" si="9">B269^$C$9*SIN(2*PI()*B269/$C$8)</f>
        <v>-13.770782683015655</v>
      </c>
      <c r="E269" s="18"/>
      <c r="F269" s="18"/>
    </row>
    <row r="270" spans="2:6" x14ac:dyDescent="0.55000000000000004">
      <c r="B270" s="1">
        <v>258</v>
      </c>
      <c r="C270" s="6">
        <f t="shared" si="8"/>
        <v>-15.384030972779922</v>
      </c>
      <c r="D270" s="6">
        <f t="shared" si="9"/>
        <v>4.6186135396402248</v>
      </c>
      <c r="E270" s="18"/>
      <c r="F270" s="18"/>
    </row>
    <row r="271" spans="2:6" x14ac:dyDescent="0.55000000000000004">
      <c r="B271" s="1">
        <v>259</v>
      </c>
      <c r="C271" s="6">
        <f t="shared" si="8"/>
        <v>14.491398886619567</v>
      </c>
      <c r="D271" s="6">
        <f t="shared" si="9"/>
        <v>6.9999541647700205</v>
      </c>
      <c r="E271" s="18"/>
      <c r="F271" s="18"/>
    </row>
    <row r="272" spans="2:6" x14ac:dyDescent="0.55000000000000004">
      <c r="B272" s="1">
        <v>260</v>
      </c>
      <c r="C272" s="6">
        <f t="shared" si="8"/>
        <v>-5.9682984216669954</v>
      </c>
      <c r="D272" s="6">
        <f t="shared" si="9"/>
        <v>-14.979299514661133</v>
      </c>
      <c r="E272" s="18"/>
      <c r="F272" s="18"/>
    </row>
    <row r="273" spans="2:6" x14ac:dyDescent="0.55000000000000004">
      <c r="B273" s="1">
        <v>261</v>
      </c>
      <c r="C273" s="6">
        <f t="shared" si="8"/>
        <v>-5.7288172744123322</v>
      </c>
      <c r="D273" s="6">
        <f t="shared" si="9"/>
        <v>15.105649692628081</v>
      </c>
      <c r="E273" s="18"/>
      <c r="F273" s="18"/>
    </row>
    <row r="274" spans="2:6" x14ac:dyDescent="0.55000000000000004">
      <c r="B274" s="1">
        <v>262</v>
      </c>
      <c r="C274" s="6">
        <f t="shared" si="8"/>
        <v>14.455728665276776</v>
      </c>
      <c r="D274" s="6">
        <f t="shared" si="9"/>
        <v>-7.2823010618825252</v>
      </c>
      <c r="E274" s="18"/>
      <c r="F274" s="18"/>
    </row>
    <row r="275" spans="2:6" x14ac:dyDescent="0.55000000000000004">
      <c r="B275" s="1">
        <v>263</v>
      </c>
      <c r="C275" s="6">
        <f t="shared" si="8"/>
        <v>-15.607942376663139</v>
      </c>
      <c r="D275" s="6">
        <f t="shared" si="9"/>
        <v>-4.4036501639847616</v>
      </c>
      <c r="E275" s="18"/>
      <c r="F275" s="18"/>
    </row>
    <row r="276" spans="2:6" x14ac:dyDescent="0.55000000000000004">
      <c r="B276" s="1">
        <v>264</v>
      </c>
      <c r="C276" s="6">
        <f t="shared" si="8"/>
        <v>8.5501241594857564</v>
      </c>
      <c r="D276" s="6">
        <f t="shared" si="9"/>
        <v>13.816489310145975</v>
      </c>
      <c r="E276" s="18"/>
      <c r="F276" s="18"/>
    </row>
    <row r="277" spans="2:6" x14ac:dyDescent="0.55000000000000004">
      <c r="B277" s="1">
        <v>265</v>
      </c>
      <c r="C277" s="6">
        <f t="shared" si="8"/>
        <v>3.0343551795439967</v>
      </c>
      <c r="D277" s="6">
        <f t="shared" si="9"/>
        <v>-15.99352020802095</v>
      </c>
      <c r="E277" s="18"/>
      <c r="F277" s="18"/>
    </row>
    <row r="278" spans="2:6" x14ac:dyDescent="0.55000000000000004">
      <c r="B278" s="1">
        <v>266</v>
      </c>
      <c r="C278" s="6">
        <f t="shared" si="8"/>
        <v>-13.065682052088803</v>
      </c>
      <c r="D278" s="6">
        <f t="shared" si="9"/>
        <v>9.7615548205050029</v>
      </c>
      <c r="E278" s="18"/>
      <c r="F278" s="18"/>
    </row>
    <row r="279" spans="2:6" x14ac:dyDescent="0.55000000000000004">
      <c r="B279" s="1">
        <v>267</v>
      </c>
      <c r="C279" s="6">
        <f t="shared" si="8"/>
        <v>16.258505869420098</v>
      </c>
      <c r="D279" s="6">
        <f t="shared" si="9"/>
        <v>1.6312531667500754</v>
      </c>
      <c r="E279" s="18"/>
      <c r="F279" s="18"/>
    </row>
    <row r="280" spans="2:6" x14ac:dyDescent="0.55000000000000004">
      <c r="B280" s="1">
        <v>268</v>
      </c>
      <c r="C280" s="6">
        <f t="shared" si="8"/>
        <v>-10.906747068287237</v>
      </c>
      <c r="D280" s="6">
        <f t="shared" si="9"/>
        <v>-12.208311447059653</v>
      </c>
      <c r="E280" s="18"/>
      <c r="F280" s="18"/>
    </row>
    <row r="281" spans="2:6" x14ac:dyDescent="0.55000000000000004">
      <c r="B281" s="1">
        <v>269</v>
      </c>
      <c r="C281" s="6">
        <f t="shared" si="8"/>
        <v>-0.205005074951146</v>
      </c>
      <c r="D281" s="6">
        <f t="shared" si="9"/>
        <v>16.399938198641003</v>
      </c>
      <c r="E281" s="18"/>
      <c r="F281" s="18"/>
    </row>
    <row r="282" spans="2:6" x14ac:dyDescent="0.55000000000000004">
      <c r="B282" s="1">
        <v>270</v>
      </c>
      <c r="C282" s="6">
        <f t="shared" si="8"/>
        <v>11.250252907300474</v>
      </c>
      <c r="D282" s="6">
        <f t="shared" si="9"/>
        <v>-11.976301996934495</v>
      </c>
      <c r="E282" s="18"/>
      <c r="F282" s="18"/>
    </row>
    <row r="283" spans="2:6" x14ac:dyDescent="0.55000000000000004">
      <c r="B283" s="1">
        <v>271</v>
      </c>
      <c r="C283" s="6">
        <f t="shared" si="8"/>
        <v>-16.415801918107395</v>
      </c>
      <c r="D283" s="6">
        <f t="shared" si="9"/>
        <v>1.2334696532390264</v>
      </c>
      <c r="E283" s="18"/>
      <c r="F283" s="18"/>
    </row>
    <row r="284" spans="2:6" x14ac:dyDescent="0.55000000000000004">
      <c r="B284" s="1">
        <v>272</v>
      </c>
      <c r="C284" s="6">
        <f t="shared" si="8"/>
        <v>12.961344915636515</v>
      </c>
      <c r="D284" s="6">
        <f t="shared" si="9"/>
        <v>10.198212489348489</v>
      </c>
      <c r="E284" s="18"/>
      <c r="F284" s="18"/>
    </row>
    <row r="285" spans="2:6" x14ac:dyDescent="0.55000000000000004">
      <c r="B285" s="1">
        <v>273</v>
      </c>
      <c r="C285" s="6">
        <f t="shared" si="8"/>
        <v>-2.6730772778903025</v>
      </c>
      <c r="D285" s="6">
        <f t="shared" si="9"/>
        <v>-16.305050072490623</v>
      </c>
      <c r="E285" s="18"/>
      <c r="F285" s="18"/>
    </row>
    <row r="286" spans="2:6" x14ac:dyDescent="0.55000000000000004">
      <c r="B286" s="1">
        <v>274</v>
      </c>
      <c r="C286" s="6">
        <f t="shared" si="8"/>
        <v>-9.0596798425017937</v>
      </c>
      <c r="D286" s="6">
        <f t="shared" si="9"/>
        <v>13.853598851972244</v>
      </c>
      <c r="E286" s="18"/>
      <c r="F286" s="18"/>
    </row>
    <row r="287" spans="2:6" x14ac:dyDescent="0.55000000000000004">
      <c r="B287" s="1">
        <v>275</v>
      </c>
      <c r="C287" s="6">
        <f t="shared" si="8"/>
        <v>16.067618950948059</v>
      </c>
      <c r="D287" s="6">
        <f t="shared" si="9"/>
        <v>-4.1026358901485276</v>
      </c>
      <c r="E287" s="18"/>
      <c r="F287" s="18"/>
    </row>
    <row r="288" spans="2:6" x14ac:dyDescent="0.55000000000000004">
      <c r="B288" s="1">
        <v>276</v>
      </c>
      <c r="C288" s="6">
        <f t="shared" si="8"/>
        <v>-14.645453807683788</v>
      </c>
      <c r="D288" s="6">
        <f t="shared" si="9"/>
        <v>-7.8428746494509562</v>
      </c>
      <c r="E288" s="18"/>
      <c r="F288" s="18"/>
    </row>
    <row r="289" spans="2:6" x14ac:dyDescent="0.55000000000000004">
      <c r="B289" s="1">
        <v>277</v>
      </c>
      <c r="C289" s="6">
        <f t="shared" si="8"/>
        <v>5.5109628006321847</v>
      </c>
      <c r="D289" s="6">
        <f t="shared" si="9"/>
        <v>15.704435329232576</v>
      </c>
      <c r="E289" s="18"/>
      <c r="F289" s="18"/>
    </row>
    <row r="290" spans="2:6" x14ac:dyDescent="0.55000000000000004">
      <c r="B290" s="1">
        <v>278</v>
      </c>
      <c r="C290" s="6">
        <f t="shared" si="8"/>
        <v>6.5566869445206812</v>
      </c>
      <c r="D290" s="6">
        <f t="shared" si="9"/>
        <v>-15.330031190821238</v>
      </c>
      <c r="E290" s="18"/>
      <c r="F290" s="18"/>
    </row>
    <row r="291" spans="2:6" x14ac:dyDescent="0.55000000000000004">
      <c r="B291" s="1">
        <v>279</v>
      </c>
      <c r="C291" s="6">
        <f t="shared" si="8"/>
        <v>-15.21741592713748</v>
      </c>
      <c r="D291" s="6">
        <f t="shared" si="9"/>
        <v>6.886962501749414</v>
      </c>
      <c r="E291" s="18"/>
      <c r="F291" s="18"/>
    </row>
    <row r="292" spans="2:6" x14ac:dyDescent="0.55000000000000004">
      <c r="B292" s="1">
        <v>280</v>
      </c>
      <c r="C292" s="6">
        <f t="shared" si="8"/>
        <v>15.901242883286132</v>
      </c>
      <c r="D292" s="6">
        <f t="shared" si="9"/>
        <v>5.210611745922173</v>
      </c>
      <c r="E292" s="18"/>
      <c r="F292" s="18"/>
    </row>
    <row r="293" spans="2:6" x14ac:dyDescent="0.55000000000000004">
      <c r="B293" s="1">
        <v>281</v>
      </c>
      <c r="C293" s="6">
        <f t="shared" si="8"/>
        <v>-8.2197145091453052</v>
      </c>
      <c r="D293" s="6">
        <f t="shared" si="9"/>
        <v>-14.609459038176128</v>
      </c>
      <c r="E293" s="18"/>
      <c r="F293" s="18"/>
    </row>
    <row r="294" spans="2:6" x14ac:dyDescent="0.55000000000000004">
      <c r="B294" s="1">
        <v>282</v>
      </c>
      <c r="C294" s="6">
        <f t="shared" si="8"/>
        <v>-3.8146784861877414</v>
      </c>
      <c r="D294" s="6">
        <f t="shared" si="9"/>
        <v>16.353844442424428</v>
      </c>
      <c r="E294" s="18"/>
      <c r="F294" s="18"/>
    </row>
    <row r="295" spans="2:6" x14ac:dyDescent="0.55000000000000004">
      <c r="B295" s="1">
        <v>283</v>
      </c>
      <c r="C295" s="6">
        <f t="shared" si="8"/>
        <v>13.884428350416144</v>
      </c>
      <c r="D295" s="6">
        <f t="shared" si="9"/>
        <v>-9.4985603847193829</v>
      </c>
      <c r="E295" s="18"/>
      <c r="F295" s="18"/>
    </row>
    <row r="296" spans="2:6" x14ac:dyDescent="0.55000000000000004">
      <c r="B296" s="1">
        <v>284</v>
      </c>
      <c r="C296" s="6">
        <f t="shared" si="8"/>
        <v>-16.683481979169464</v>
      </c>
      <c r="D296" s="6">
        <f t="shared" si="9"/>
        <v>-2.3793757691310065</v>
      </c>
      <c r="E296" s="18"/>
      <c r="F296" s="18"/>
    </row>
    <row r="297" spans="2:6" x14ac:dyDescent="0.55000000000000004">
      <c r="B297" s="1">
        <v>285</v>
      </c>
      <c r="C297" s="6">
        <f t="shared" si="8"/>
        <v>10.713189246095876</v>
      </c>
      <c r="D297" s="6">
        <f t="shared" si="9"/>
        <v>13.0471290396522</v>
      </c>
      <c r="E297" s="18"/>
      <c r="F297" s="18"/>
    </row>
    <row r="298" spans="2:6" x14ac:dyDescent="0.55000000000000004">
      <c r="B298" s="1">
        <v>286</v>
      </c>
      <c r="C298" s="6">
        <f t="shared" si="8"/>
        <v>0.91557202169731988</v>
      </c>
      <c r="D298" s="6">
        <f t="shared" si="9"/>
        <v>-16.886732302997082</v>
      </c>
      <c r="E298" s="18"/>
      <c r="F298" s="18"/>
    </row>
    <row r="299" spans="2:6" x14ac:dyDescent="0.55000000000000004">
      <c r="B299" s="1">
        <v>287</v>
      </c>
      <c r="C299" s="6">
        <f t="shared" si="8"/>
        <v>-12.103276278042893</v>
      </c>
      <c r="D299" s="6">
        <f t="shared" si="9"/>
        <v>11.853721075567965</v>
      </c>
      <c r="E299" s="18"/>
      <c r="F299" s="18"/>
    </row>
    <row r="300" spans="2:6" x14ac:dyDescent="0.55000000000000004">
      <c r="B300" s="1">
        <v>288</v>
      </c>
      <c r="C300" s="6">
        <f t="shared" si="8"/>
        <v>16.961135975136635</v>
      </c>
      <c r="D300" s="6">
        <f t="shared" si="9"/>
        <v>-0.56556735489749821</v>
      </c>
      <c r="E300" s="18"/>
      <c r="F300" s="18"/>
    </row>
    <row r="301" spans="2:6" x14ac:dyDescent="0.55000000000000004">
      <c r="B301" s="1">
        <v>289</v>
      </c>
      <c r="C301" s="6">
        <f t="shared" si="8"/>
        <v>-12.910787155289981</v>
      </c>
      <c r="D301" s="6">
        <f t="shared" si="9"/>
        <v>-11.059456362353409</v>
      </c>
      <c r="E301" s="18"/>
      <c r="F301" s="18"/>
    </row>
    <row r="302" spans="2:6" x14ac:dyDescent="0.55000000000000004">
      <c r="B302" s="1">
        <v>290</v>
      </c>
      <c r="C302" s="6">
        <f t="shared" si="8"/>
        <v>2.052665699339927</v>
      </c>
      <c r="D302" s="6">
        <f t="shared" si="9"/>
        <v>16.905222965898833</v>
      </c>
      <c r="E302" s="18"/>
      <c r="F302" s="18"/>
    </row>
    <row r="303" spans="2:6" x14ac:dyDescent="0.55000000000000004">
      <c r="B303" s="1">
        <v>291</v>
      </c>
      <c r="C303" s="6">
        <f t="shared" si="8"/>
        <v>9.9230807258593856</v>
      </c>
      <c r="D303" s="6">
        <f t="shared" si="9"/>
        <v>-13.87560697440216</v>
      </c>
      <c r="E303" s="18"/>
      <c r="F303" s="18"/>
    </row>
    <row r="304" spans="2:6" x14ac:dyDescent="0.55000000000000004">
      <c r="B304" s="1">
        <v>292</v>
      </c>
      <c r="C304" s="6">
        <f t="shared" si="8"/>
        <v>-16.718530669010612</v>
      </c>
      <c r="D304" s="6">
        <f t="shared" si="9"/>
        <v>3.5342230078691292</v>
      </c>
      <c r="E304" s="18"/>
      <c r="F304" s="18"/>
    </row>
    <row r="305" spans="2:6" x14ac:dyDescent="0.55000000000000004">
      <c r="B305" s="1">
        <v>293</v>
      </c>
      <c r="C305" s="6">
        <f t="shared" si="8"/>
        <v>14.740060978328076</v>
      </c>
      <c r="D305" s="6">
        <f t="shared" si="9"/>
        <v>8.7023331558364259</v>
      </c>
      <c r="E305" s="18"/>
      <c r="F305" s="18"/>
    </row>
    <row r="306" spans="2:6" x14ac:dyDescent="0.55000000000000004">
      <c r="B306" s="1">
        <v>294</v>
      </c>
      <c r="C306" s="6">
        <f t="shared" si="8"/>
        <v>-4.9987053723969854</v>
      </c>
      <c r="D306" s="6">
        <f t="shared" si="9"/>
        <v>-16.401614085204223</v>
      </c>
      <c r="E306" s="18"/>
      <c r="F306" s="18"/>
    </row>
    <row r="307" spans="2:6" x14ac:dyDescent="0.55000000000000004">
      <c r="B307" s="1">
        <v>295</v>
      </c>
      <c r="C307" s="6">
        <f t="shared" si="8"/>
        <v>-7.4061105943759467</v>
      </c>
      <c r="D307" s="6">
        <f t="shared" si="9"/>
        <v>15.496758559901238</v>
      </c>
      <c r="E307" s="18"/>
      <c r="F307" s="18"/>
    </row>
    <row r="308" spans="2:6" x14ac:dyDescent="0.55000000000000004">
      <c r="B308" s="1">
        <v>296</v>
      </c>
      <c r="C308" s="6">
        <f t="shared" si="8"/>
        <v>15.956048048413022</v>
      </c>
      <c r="D308" s="6">
        <f t="shared" si="9"/>
        <v>-6.4346352403795981</v>
      </c>
      <c r="E308" s="18"/>
      <c r="F308" s="18"/>
    </row>
    <row r="309" spans="2:6" x14ac:dyDescent="0.55000000000000004">
      <c r="B309" s="1">
        <v>297</v>
      </c>
      <c r="C309" s="6">
        <f t="shared" si="8"/>
        <v>-16.139100726467543</v>
      </c>
      <c r="D309" s="6">
        <f t="shared" si="9"/>
        <v>-6.0439579532732317</v>
      </c>
      <c r="E309" s="18"/>
      <c r="F309" s="18"/>
    </row>
    <row r="310" spans="2:6" x14ac:dyDescent="0.55000000000000004">
      <c r="B310" s="1">
        <v>298</v>
      </c>
      <c r="C310" s="6">
        <f t="shared" si="8"/>
        <v>7.8306817871410548</v>
      </c>
      <c r="D310" s="6">
        <f t="shared" si="9"/>
        <v>15.384421430412564</v>
      </c>
      <c r="E310" s="18"/>
      <c r="F310" s="18"/>
    </row>
    <row r="311" spans="2:6" x14ac:dyDescent="0.55000000000000004">
      <c r="B311" s="1">
        <v>299</v>
      </c>
      <c r="C311" s="6">
        <f t="shared" si="8"/>
        <v>4.6259974235698715</v>
      </c>
      <c r="D311" s="6">
        <f t="shared" si="9"/>
        <v>-16.661336916259899</v>
      </c>
      <c r="E311" s="18"/>
      <c r="F311" s="18"/>
    </row>
    <row r="312" spans="2:6" x14ac:dyDescent="0.55000000000000004">
      <c r="B312" s="1">
        <v>300</v>
      </c>
      <c r="C312" s="6">
        <f t="shared" si="8"/>
        <v>-14.690323322975548</v>
      </c>
      <c r="D312" s="6">
        <f t="shared" si="9"/>
        <v>9.1757506868070884</v>
      </c>
      <c r="E312" s="18"/>
      <c r="F312" s="18"/>
    </row>
    <row r="313" spans="2:6" x14ac:dyDescent="0.55000000000000004">
      <c r="B313" s="1">
        <v>301</v>
      </c>
      <c r="C313" s="6">
        <f t="shared" si="8"/>
        <v>17.058615480854421</v>
      </c>
      <c r="D313" s="6">
        <f t="shared" si="9"/>
        <v>3.1628528066215491</v>
      </c>
      <c r="E313" s="18"/>
      <c r="F313" s="18"/>
    </row>
    <row r="314" spans="2:6" x14ac:dyDescent="0.55000000000000004">
      <c r="B314" s="1">
        <v>302</v>
      </c>
      <c r="C314" s="6">
        <f t="shared" si="8"/>
        <v>-10.459072568643116</v>
      </c>
      <c r="D314" s="6">
        <f t="shared" si="9"/>
        <v>-13.878321260291427</v>
      </c>
      <c r="E314" s="18"/>
      <c r="F314" s="18"/>
    </row>
    <row r="315" spans="2:6" x14ac:dyDescent="0.55000000000000004">
      <c r="B315" s="1">
        <v>303</v>
      </c>
      <c r="C315" s="6">
        <f t="shared" si="8"/>
        <v>-1.6655694359303301</v>
      </c>
      <c r="D315" s="6">
        <f t="shared" si="9"/>
        <v>17.327027398088074</v>
      </c>
      <c r="E315" s="18"/>
      <c r="F315" s="18"/>
    </row>
    <row r="316" spans="2:6" x14ac:dyDescent="0.55000000000000004">
      <c r="B316" s="1">
        <v>304</v>
      </c>
      <c r="C316" s="6">
        <f t="shared" si="8"/>
        <v>12.953931607762375</v>
      </c>
      <c r="D316" s="6">
        <f t="shared" si="9"/>
        <v>-11.670289452340718</v>
      </c>
      <c r="E316" s="18"/>
      <c r="F316" s="18"/>
    </row>
    <row r="317" spans="2:6" x14ac:dyDescent="0.55000000000000004">
      <c r="B317" s="1">
        <v>305</v>
      </c>
      <c r="C317" s="6">
        <f t="shared" si="8"/>
        <v>-17.463642831111724</v>
      </c>
      <c r="D317" s="6">
        <f t="shared" si="9"/>
        <v>-0.14553029705183543</v>
      </c>
      <c r="E317" s="18"/>
      <c r="F317" s="18"/>
    </row>
    <row r="318" spans="2:6" x14ac:dyDescent="0.55000000000000004">
      <c r="B318" s="1">
        <v>306</v>
      </c>
      <c r="C318" s="6">
        <f t="shared" si="8"/>
        <v>12.799538467829127</v>
      </c>
      <c r="D318" s="6">
        <f t="shared" si="9"/>
        <v>11.923582306109283</v>
      </c>
      <c r="E318" s="18"/>
      <c r="F318" s="18"/>
    </row>
    <row r="319" spans="2:6" x14ac:dyDescent="0.55000000000000004">
      <c r="B319" s="1">
        <v>307</v>
      </c>
      <c r="C319" s="6">
        <f t="shared" si="8"/>
        <v>-1.3856310138492554</v>
      </c>
      <c r="D319" s="6">
        <f t="shared" si="9"/>
        <v>-17.466540203871489</v>
      </c>
      <c r="E319" s="18"/>
      <c r="F319" s="18"/>
    </row>
    <row r="320" spans="2:6" x14ac:dyDescent="0.55000000000000004">
      <c r="B320" s="1">
        <v>308</v>
      </c>
      <c r="C320" s="6">
        <f t="shared" si="8"/>
        <v>-10.794568221245923</v>
      </c>
      <c r="D320" s="6">
        <f t="shared" si="9"/>
        <v>13.837532183047225</v>
      </c>
      <c r="E320" s="18"/>
      <c r="F320" s="18"/>
    </row>
    <row r="321" spans="2:6" x14ac:dyDescent="0.55000000000000004">
      <c r="B321" s="1">
        <v>309</v>
      </c>
      <c r="C321" s="6">
        <f t="shared" si="8"/>
        <v>17.334827520770741</v>
      </c>
      <c r="D321" s="6">
        <f t="shared" si="9"/>
        <v>-2.9161198235205208</v>
      </c>
      <c r="E321" s="18"/>
      <c r="F321" s="18"/>
    </row>
    <row r="322" spans="2:6" x14ac:dyDescent="0.55000000000000004">
      <c r="B322" s="1">
        <v>310</v>
      </c>
      <c r="C322" s="6">
        <f t="shared" si="8"/>
        <v>-14.775634886267854</v>
      </c>
      <c r="D322" s="6">
        <f t="shared" si="9"/>
        <v>-9.5749994103239686</v>
      </c>
      <c r="E322" s="18"/>
      <c r="F322" s="18"/>
    </row>
    <row r="323" spans="2:6" x14ac:dyDescent="0.55000000000000004">
      <c r="B323" s="1">
        <v>311</v>
      </c>
      <c r="C323" s="6">
        <f t="shared" si="8"/>
        <v>4.4340717148404725</v>
      </c>
      <c r="D323" s="6">
        <f t="shared" si="9"/>
        <v>17.068655718235448</v>
      </c>
      <c r="E323" s="18"/>
      <c r="F323" s="18"/>
    </row>
    <row r="324" spans="2:6" x14ac:dyDescent="0.55000000000000004">
      <c r="B324" s="1">
        <v>312</v>
      </c>
      <c r="C324" s="6">
        <f t="shared" si="8"/>
        <v>8.2737426720517551</v>
      </c>
      <c r="D324" s="6">
        <f t="shared" si="9"/>
        <v>-15.605934198139819</v>
      </c>
      <c r="E324" s="18"/>
      <c r="F324" s="18"/>
    </row>
    <row r="325" spans="2:6" x14ac:dyDescent="0.55000000000000004">
      <c r="B325" s="1">
        <v>313</v>
      </c>
      <c r="C325" s="6">
        <f t="shared" si="8"/>
        <v>-16.669223897810685</v>
      </c>
      <c r="D325" s="6">
        <f t="shared" si="9"/>
        <v>5.9276449492743062</v>
      </c>
      <c r="E325" s="18"/>
      <c r="F325" s="18"/>
    </row>
    <row r="326" spans="2:6" x14ac:dyDescent="0.55000000000000004">
      <c r="B326" s="1">
        <v>314</v>
      </c>
      <c r="C326" s="6">
        <f t="shared" si="8"/>
        <v>16.321307422224873</v>
      </c>
      <c r="D326" s="6">
        <f t="shared" si="9"/>
        <v>6.900356804486802</v>
      </c>
      <c r="E326" s="18"/>
      <c r="F326" s="18"/>
    </row>
    <row r="327" spans="2:6" x14ac:dyDescent="0.55000000000000004">
      <c r="B327" s="1">
        <v>315</v>
      </c>
      <c r="C327" s="6">
        <f t="shared" si="8"/>
        <v>-7.3851132557094452</v>
      </c>
      <c r="D327" s="6">
        <f t="shared" si="9"/>
        <v>-16.138776353873446</v>
      </c>
      <c r="E327" s="18"/>
      <c r="F327" s="18"/>
    </row>
    <row r="328" spans="2:6" x14ac:dyDescent="0.55000000000000004">
      <c r="B328" s="1">
        <v>316</v>
      </c>
      <c r="C328" s="6">
        <f t="shared" si="8"/>
        <v>-5.4650220455514908</v>
      </c>
      <c r="D328" s="6">
        <f t="shared" si="9"/>
        <v>16.915482081266148</v>
      </c>
      <c r="E328" s="18"/>
      <c r="F328" s="18"/>
    </row>
    <row r="329" spans="2:6" x14ac:dyDescent="0.55000000000000004">
      <c r="B329" s="1">
        <v>317</v>
      </c>
      <c r="C329" s="6">
        <f t="shared" si="8"/>
        <v>15.480591373437708</v>
      </c>
      <c r="D329" s="6">
        <f t="shared" si="9"/>
        <v>-8.7949582562196458</v>
      </c>
      <c r="E329" s="18"/>
      <c r="F329" s="18"/>
    </row>
    <row r="330" spans="2:6" x14ac:dyDescent="0.55000000000000004">
      <c r="B330" s="1">
        <v>318</v>
      </c>
      <c r="C330" s="6">
        <f t="shared" si="8"/>
        <v>-17.383090129486352</v>
      </c>
      <c r="D330" s="6">
        <f t="shared" si="9"/>
        <v>-3.9784642200419729</v>
      </c>
      <c r="E330" s="18"/>
      <c r="F330" s="18"/>
    </row>
    <row r="331" spans="2:6" x14ac:dyDescent="0.55000000000000004">
      <c r="B331" s="1">
        <v>319</v>
      </c>
      <c r="C331" s="6">
        <f t="shared" si="8"/>
        <v>10.14596079811122</v>
      </c>
      <c r="D331" s="6">
        <f t="shared" si="9"/>
        <v>14.698961850525032</v>
      </c>
      <c r="E331" s="18"/>
      <c r="F331" s="18"/>
    </row>
    <row r="332" spans="2:6" x14ac:dyDescent="0.55000000000000004">
      <c r="B332" s="1">
        <v>320</v>
      </c>
      <c r="C332" s="6">
        <f t="shared" si="8"/>
        <v>2.4518741614753843</v>
      </c>
      <c r="D332" s="6">
        <f t="shared" si="9"/>
        <v>-17.719715378534989</v>
      </c>
      <c r="E332" s="18"/>
      <c r="F332" s="18"/>
    </row>
    <row r="333" spans="2:6" x14ac:dyDescent="0.55000000000000004">
      <c r="B333" s="1">
        <v>321</v>
      </c>
      <c r="C333" s="6">
        <f t="shared" ref="C333:C396" si="10">B333^$C$9*COS(2*PI()*B333/$C$8)</f>
        <v>-13.799167822406556</v>
      </c>
      <c r="D333" s="6">
        <f t="shared" ref="D333:D396" si="11">B333^$C$9*SIN(2*PI()*B333/$C$8)</f>
        <v>11.42729046664429</v>
      </c>
      <c r="E333" s="18"/>
      <c r="F333" s="18"/>
    </row>
    <row r="334" spans="2:6" x14ac:dyDescent="0.55000000000000004">
      <c r="B334" s="1">
        <v>322</v>
      </c>
      <c r="C334" s="6">
        <f t="shared" si="10"/>
        <v>17.921933725895567</v>
      </c>
      <c r="D334" s="6">
        <f t="shared" si="11"/>
        <v>0.89682301743824266</v>
      </c>
      <c r="E334" s="18"/>
      <c r="F334" s="18"/>
    </row>
    <row r="335" spans="2:6" x14ac:dyDescent="0.55000000000000004">
      <c r="B335" s="1">
        <v>323</v>
      </c>
      <c r="C335" s="6">
        <f t="shared" si="10"/>
        <v>-12.628592563166153</v>
      </c>
      <c r="D335" s="6">
        <f t="shared" si="11"/>
        <v>-12.787441099514183</v>
      </c>
      <c r="E335" s="18"/>
      <c r="F335" s="18"/>
    </row>
    <row r="336" spans="2:6" x14ac:dyDescent="0.55000000000000004">
      <c r="B336" s="1">
        <v>324</v>
      </c>
      <c r="C336" s="6">
        <f t="shared" si="10"/>
        <v>0.67482591717206242</v>
      </c>
      <c r="D336" s="6">
        <f t="shared" si="11"/>
        <v>17.987345829263216</v>
      </c>
      <c r="E336" s="18"/>
      <c r="F336" s="18"/>
    </row>
    <row r="337" spans="2:6" x14ac:dyDescent="0.55000000000000004">
      <c r="B337" s="1">
        <v>325</v>
      </c>
      <c r="C337" s="6">
        <f t="shared" si="10"/>
        <v>11.670922224056616</v>
      </c>
      <c r="D337" s="6">
        <f t="shared" si="11"/>
        <v>-13.740071849885696</v>
      </c>
      <c r="E337" s="18"/>
      <c r="F337" s="18"/>
    </row>
    <row r="338" spans="2:6" x14ac:dyDescent="0.55000000000000004">
      <c r="B338" s="1">
        <v>326</v>
      </c>
      <c r="C338" s="6">
        <f t="shared" si="10"/>
        <v>-17.91460192821604</v>
      </c>
      <c r="D338" s="6">
        <f t="shared" si="11"/>
        <v>2.2510081638141859</v>
      </c>
      <c r="E338" s="18"/>
      <c r="F338" s="18"/>
    </row>
    <row r="339" spans="2:6" x14ac:dyDescent="0.55000000000000004">
      <c r="B339" s="1">
        <v>327</v>
      </c>
      <c r="C339" s="6">
        <f t="shared" si="10"/>
        <v>14.752572384268333</v>
      </c>
      <c r="D339" s="6">
        <f t="shared" si="11"/>
        <v>10.457610054258256</v>
      </c>
      <c r="E339" s="18"/>
      <c r="F339" s="18"/>
    </row>
    <row r="340" spans="2:6" x14ac:dyDescent="0.55000000000000004">
      <c r="B340" s="1">
        <v>328</v>
      </c>
      <c r="C340" s="6">
        <f t="shared" si="10"/>
        <v>-3.8195511202170271</v>
      </c>
      <c r="D340" s="6">
        <f t="shared" si="11"/>
        <v>-17.703418574954636</v>
      </c>
      <c r="E340" s="18"/>
      <c r="F340" s="18"/>
    </row>
    <row r="341" spans="2:6" x14ac:dyDescent="0.55000000000000004">
      <c r="B341" s="1">
        <v>329</v>
      </c>
      <c r="C341" s="6">
        <f t="shared" si="10"/>
        <v>-9.1563043308212926</v>
      </c>
      <c r="D341" s="6">
        <f t="shared" si="11"/>
        <v>15.657652793486744</v>
      </c>
      <c r="E341" s="18"/>
      <c r="F341" s="18"/>
    </row>
    <row r="342" spans="2:6" x14ac:dyDescent="0.55000000000000004">
      <c r="B342" s="1">
        <v>330</v>
      </c>
      <c r="C342" s="6">
        <f t="shared" si="10"/>
        <v>17.354587098499909</v>
      </c>
      <c r="D342" s="6">
        <f t="shared" si="11"/>
        <v>-5.3682684955747559</v>
      </c>
      <c r="E342" s="18"/>
      <c r="F342" s="18"/>
    </row>
    <row r="343" spans="2:6" x14ac:dyDescent="0.55000000000000004">
      <c r="B343" s="1">
        <v>331</v>
      </c>
      <c r="C343" s="6">
        <f t="shared" si="10"/>
        <v>-16.447656371937061</v>
      </c>
      <c r="D343" s="6">
        <f t="shared" si="11"/>
        <v>-7.7765416394872009</v>
      </c>
      <c r="E343" s="18"/>
      <c r="F343" s="18"/>
    </row>
    <row r="344" spans="2:6" x14ac:dyDescent="0.55000000000000004">
      <c r="B344" s="1">
        <v>332</v>
      </c>
      <c r="C344" s="6">
        <f t="shared" si="10"/>
        <v>6.8850553856058072</v>
      </c>
      <c r="D344" s="6">
        <f t="shared" si="11"/>
        <v>16.869973691062487</v>
      </c>
      <c r="E344" s="18"/>
      <c r="F344" s="18"/>
    </row>
    <row r="345" spans="2:6" x14ac:dyDescent="0.55000000000000004">
      <c r="B345" s="1">
        <v>333</v>
      </c>
      <c r="C345" s="6">
        <f t="shared" si="10"/>
        <v>6.3285252377530901</v>
      </c>
      <c r="D345" s="6">
        <f t="shared" si="11"/>
        <v>-17.115775422548701</v>
      </c>
      <c r="E345" s="18"/>
      <c r="F345" s="18"/>
    </row>
    <row r="346" spans="2:6" x14ac:dyDescent="0.55000000000000004">
      <c r="B346" s="1">
        <v>334</v>
      </c>
      <c r="C346" s="6">
        <f t="shared" si="10"/>
        <v>-16.252511070820049</v>
      </c>
      <c r="D346" s="6">
        <f t="shared" si="11"/>
        <v>8.3579832431557151</v>
      </c>
      <c r="E346" s="18"/>
      <c r="F346" s="18"/>
    </row>
    <row r="347" spans="2:6" x14ac:dyDescent="0.55000000000000004">
      <c r="B347" s="1">
        <v>335</v>
      </c>
      <c r="C347" s="6">
        <f t="shared" si="10"/>
        <v>17.656109305038218</v>
      </c>
      <c r="D347" s="6">
        <f t="shared" si="11"/>
        <v>4.8230492645776373</v>
      </c>
      <c r="E347" s="18"/>
      <c r="F347" s="18"/>
    </row>
    <row r="348" spans="2:6" x14ac:dyDescent="0.55000000000000004">
      <c r="B348" s="1">
        <v>336</v>
      </c>
      <c r="C348" s="6">
        <f t="shared" si="10"/>
        <v>-9.7753939971376838</v>
      </c>
      <c r="D348" s="6">
        <f t="shared" si="11"/>
        <v>-15.506181741509561</v>
      </c>
      <c r="E348" s="18"/>
      <c r="F348" s="18"/>
    </row>
    <row r="349" spans="2:6" x14ac:dyDescent="0.55000000000000004">
      <c r="B349" s="1">
        <v>337</v>
      </c>
      <c r="C349" s="6">
        <f t="shared" si="10"/>
        <v>-3.2714178988646929</v>
      </c>
      <c r="D349" s="6">
        <f t="shared" si="11"/>
        <v>18.063715701122725</v>
      </c>
      <c r="E349" s="18"/>
      <c r="F349" s="18"/>
    </row>
    <row r="350" spans="2:6" x14ac:dyDescent="0.55000000000000004">
      <c r="B350" s="1">
        <v>338</v>
      </c>
      <c r="C350" s="6">
        <f t="shared" si="10"/>
        <v>14.635992935612069</v>
      </c>
      <c r="D350" s="6">
        <f t="shared" si="11"/>
        <v>-11.125992575438541</v>
      </c>
      <c r="E350" s="18"/>
      <c r="F350" s="18"/>
    </row>
    <row r="351" spans="2:6" x14ac:dyDescent="0.55000000000000004">
      <c r="B351" s="1">
        <v>339</v>
      </c>
      <c r="C351" s="6">
        <f t="shared" si="10"/>
        <v>-18.334654657691832</v>
      </c>
      <c r="D351" s="6">
        <f t="shared" si="11"/>
        <v>-1.6853600752299609</v>
      </c>
      <c r="E351" s="18"/>
      <c r="F351" s="18"/>
    </row>
    <row r="352" spans="2:6" x14ac:dyDescent="0.55000000000000004">
      <c r="B352" s="1">
        <v>340</v>
      </c>
      <c r="C352" s="6">
        <f t="shared" si="10"/>
        <v>12.398937096303889</v>
      </c>
      <c r="D352" s="6">
        <f t="shared" si="11"/>
        <v>13.647943393856059</v>
      </c>
      <c r="E352" s="18"/>
      <c r="F352" s="18"/>
    </row>
    <row r="353" spans="2:6" x14ac:dyDescent="0.55000000000000004">
      <c r="B353" s="1">
        <v>341</v>
      </c>
      <c r="C353" s="6">
        <f t="shared" si="10"/>
        <v>7.6940403523417328E-2</v>
      </c>
      <c r="D353" s="6">
        <f t="shared" si="11"/>
        <v>-18.466025023656435</v>
      </c>
      <c r="E353" s="18"/>
      <c r="F353" s="18"/>
    </row>
    <row r="354" spans="2:6" x14ac:dyDescent="0.55000000000000004">
      <c r="B354" s="1">
        <v>342</v>
      </c>
      <c r="C354" s="6">
        <f t="shared" si="10"/>
        <v>-12.548982198872839</v>
      </c>
      <c r="D354" s="6">
        <f t="shared" si="11"/>
        <v>13.583926007321027</v>
      </c>
      <c r="E354" s="18"/>
      <c r="F354" s="18"/>
    </row>
    <row r="355" spans="2:6" x14ac:dyDescent="0.55000000000000004">
      <c r="B355" s="1">
        <v>343</v>
      </c>
      <c r="C355" s="6">
        <f t="shared" si="10"/>
        <v>18.455992954135951</v>
      </c>
      <c r="D355" s="6">
        <f t="shared" si="11"/>
        <v>-1.5415330281522497</v>
      </c>
      <c r="E355" s="18"/>
      <c r="F355" s="18"/>
    </row>
    <row r="356" spans="2:6" x14ac:dyDescent="0.55000000000000004">
      <c r="B356" s="1">
        <v>344</v>
      </c>
      <c r="C356" s="6">
        <f t="shared" si="10"/>
        <v>-14.671281471529806</v>
      </c>
      <c r="D356" s="6">
        <f t="shared" si="11"/>
        <v>-11.346959944546658</v>
      </c>
      <c r="E356" s="18"/>
      <c r="F356" s="18"/>
    </row>
    <row r="357" spans="2:6" x14ac:dyDescent="0.55000000000000004">
      <c r="B357" s="1">
        <v>345</v>
      </c>
      <c r="C357" s="6">
        <f t="shared" si="10"/>
        <v>3.1576032592608323</v>
      </c>
      <c r="D357" s="6">
        <f t="shared" si="11"/>
        <v>18.303812216505754</v>
      </c>
      <c r="E357" s="18"/>
      <c r="F357" s="18"/>
    </row>
    <row r="358" spans="2:6" x14ac:dyDescent="0.55000000000000004">
      <c r="B358" s="1">
        <v>346</v>
      </c>
      <c r="C358" s="6">
        <f t="shared" si="10"/>
        <v>10.050572584276454</v>
      </c>
      <c r="D358" s="6">
        <f t="shared" si="11"/>
        <v>-15.652028326328526</v>
      </c>
      <c r="E358" s="18"/>
      <c r="F358" s="18"/>
    </row>
    <row r="359" spans="2:6" x14ac:dyDescent="0.55000000000000004">
      <c r="B359" s="1">
        <v>347</v>
      </c>
      <c r="C359" s="6">
        <f t="shared" si="10"/>
        <v>-18.009836096049355</v>
      </c>
      <c r="D359" s="6">
        <f t="shared" si="11"/>
        <v>4.7587607413524919</v>
      </c>
      <c r="E359" s="18"/>
      <c r="F359" s="18"/>
    </row>
    <row r="360" spans="2:6" x14ac:dyDescent="0.55000000000000004">
      <c r="B360" s="1">
        <v>348</v>
      </c>
      <c r="C360" s="6">
        <f t="shared" si="10"/>
        <v>16.517967972222465</v>
      </c>
      <c r="D360" s="6">
        <f t="shared" si="11"/>
        <v>8.6692983608036549</v>
      </c>
      <c r="E360" s="18"/>
      <c r="F360" s="18"/>
    </row>
    <row r="361" spans="2:6" x14ac:dyDescent="0.55000000000000004">
      <c r="B361" s="1">
        <v>349</v>
      </c>
      <c r="C361" s="6">
        <f t="shared" si="10"/>
        <v>-6.3325405543372915</v>
      </c>
      <c r="D361" s="6">
        <f t="shared" si="11"/>
        <v>-17.57552076405344</v>
      </c>
      <c r="E361" s="18"/>
      <c r="F361" s="18"/>
    </row>
    <row r="362" spans="2:6" x14ac:dyDescent="0.55000000000000004">
      <c r="B362" s="1">
        <v>350</v>
      </c>
      <c r="C362" s="6">
        <f t="shared" si="10"/>
        <v>-7.2133282766251083</v>
      </c>
      <c r="D362" s="6">
        <f t="shared" si="11"/>
        <v>17.26174658525726</v>
      </c>
      <c r="E362" s="18"/>
      <c r="F362" s="18"/>
    </row>
    <row r="363" spans="2:6" x14ac:dyDescent="0.55000000000000004">
      <c r="B363" s="1">
        <v>351</v>
      </c>
      <c r="C363" s="6">
        <f t="shared" si="10"/>
        <v>17.003420037717849</v>
      </c>
      <c r="D363" s="6">
        <f t="shared" si="11"/>
        <v>-7.8666197963887345</v>
      </c>
      <c r="E363" s="18"/>
      <c r="F363" s="18"/>
    </row>
    <row r="364" spans="2:6" x14ac:dyDescent="0.55000000000000004">
      <c r="B364" s="1">
        <v>352</v>
      </c>
      <c r="C364" s="6">
        <f t="shared" si="10"/>
        <v>-17.876917088578011</v>
      </c>
      <c r="D364" s="6">
        <f t="shared" si="11"/>
        <v>-5.6934906171967521</v>
      </c>
      <c r="E364" s="18"/>
      <c r="F364" s="18"/>
    </row>
    <row r="365" spans="2:6" x14ac:dyDescent="0.55000000000000004">
      <c r="B365" s="1">
        <v>353</v>
      </c>
      <c r="C365" s="6">
        <f t="shared" si="10"/>
        <v>9.3489143844484968</v>
      </c>
      <c r="D365" s="6">
        <f t="shared" si="11"/>
        <v>16.297171528589001</v>
      </c>
      <c r="E365" s="18"/>
      <c r="F365" s="18"/>
    </row>
    <row r="366" spans="2:6" x14ac:dyDescent="0.55000000000000004">
      <c r="B366" s="1">
        <v>354</v>
      </c>
      <c r="C366" s="6">
        <f t="shared" si="10"/>
        <v>4.121170088311926</v>
      </c>
      <c r="D366" s="6">
        <f t="shared" si="11"/>
        <v>-18.357994364940932</v>
      </c>
      <c r="E366" s="18"/>
      <c r="F366" s="18"/>
    </row>
    <row r="367" spans="2:6" x14ac:dyDescent="0.55000000000000004">
      <c r="B367" s="1">
        <v>355</v>
      </c>
      <c r="C367" s="6">
        <f t="shared" si="10"/>
        <v>-15.461474243953855</v>
      </c>
      <c r="D367" s="6">
        <f t="shared" si="11"/>
        <v>10.767674503046218</v>
      </c>
      <c r="E367" s="18"/>
      <c r="F367" s="18"/>
    </row>
    <row r="368" spans="2:6" x14ac:dyDescent="0.55000000000000004">
      <c r="B368" s="1">
        <v>356</v>
      </c>
      <c r="C368" s="6">
        <f t="shared" si="10"/>
        <v>18.700503242554305</v>
      </c>
      <c r="D368" s="6">
        <f t="shared" si="11"/>
        <v>2.5082221742134312</v>
      </c>
      <c r="E368" s="18"/>
      <c r="F368" s="18"/>
    </row>
    <row r="369" spans="2:6" x14ac:dyDescent="0.55000000000000004">
      <c r="B369" s="1">
        <v>357</v>
      </c>
      <c r="C369" s="6">
        <f t="shared" si="10"/>
        <v>-12.111577946058953</v>
      </c>
      <c r="D369" s="6">
        <f t="shared" si="11"/>
        <v>-14.502057773176137</v>
      </c>
      <c r="E369" s="18"/>
      <c r="F369" s="18"/>
    </row>
    <row r="370" spans="2:6" x14ac:dyDescent="0.55000000000000004">
      <c r="B370" s="1">
        <v>358</v>
      </c>
      <c r="C370" s="6">
        <f t="shared" si="10"/>
        <v>-0.86688336363685314</v>
      </c>
      <c r="D370" s="6">
        <f t="shared" si="11"/>
        <v>18.901018841159058</v>
      </c>
      <c r="E370" s="18"/>
      <c r="F370" s="18"/>
    </row>
    <row r="371" spans="2:6" x14ac:dyDescent="0.55000000000000004">
      <c r="B371" s="1">
        <v>359</v>
      </c>
      <c r="C371" s="6">
        <f t="shared" si="10"/>
        <v>13.425643257688293</v>
      </c>
      <c r="D371" s="6">
        <f t="shared" si="11"/>
        <v>-13.369820609016744</v>
      </c>
      <c r="E371" s="18"/>
      <c r="F371" s="18"/>
    </row>
    <row r="372" spans="2:6" x14ac:dyDescent="0.55000000000000004">
      <c r="B372" s="1">
        <v>360</v>
      </c>
      <c r="C372" s="6">
        <f t="shared" si="10"/>
        <v>-18.957198923360075</v>
      </c>
      <c r="D372" s="6">
        <f t="shared" si="11"/>
        <v>0.79032207368616181</v>
      </c>
      <c r="E372" s="18"/>
      <c r="F372" s="18"/>
    </row>
    <row r="373" spans="2:6" x14ac:dyDescent="0.55000000000000004">
      <c r="B373" s="1">
        <v>361</v>
      </c>
      <c r="C373" s="6">
        <f t="shared" si="10"/>
        <v>14.532203408242841</v>
      </c>
      <c r="D373" s="6">
        <f t="shared" si="11"/>
        <v>12.239896408934806</v>
      </c>
      <c r="E373" s="18"/>
      <c r="F373" s="18"/>
    </row>
    <row r="374" spans="2:6" x14ac:dyDescent="0.55000000000000004">
      <c r="B374" s="1">
        <v>362</v>
      </c>
      <c r="C374" s="6">
        <f t="shared" si="10"/>
        <v>-2.4506780467477798</v>
      </c>
      <c r="D374" s="6">
        <f t="shared" si="11"/>
        <v>-18.867807957237332</v>
      </c>
      <c r="E374" s="18"/>
      <c r="F374" s="18"/>
    </row>
    <row r="375" spans="2:6" x14ac:dyDescent="0.55000000000000004">
      <c r="B375" s="1">
        <v>363</v>
      </c>
      <c r="C375" s="6">
        <f t="shared" si="10"/>
        <v>-10.95337290234548</v>
      </c>
      <c r="D375" s="6">
        <f t="shared" si="11"/>
        <v>15.589214927704464</v>
      </c>
      <c r="E375" s="18"/>
      <c r="F375" s="18"/>
    </row>
    <row r="376" spans="2:6" x14ac:dyDescent="0.55000000000000004">
      <c r="B376" s="1">
        <v>364</v>
      </c>
      <c r="C376" s="6">
        <f t="shared" si="10"/>
        <v>18.632732660027447</v>
      </c>
      <c r="D376" s="6">
        <f t="shared" si="11"/>
        <v>-4.1013746012704715</v>
      </c>
      <c r="E376" s="18"/>
      <c r="F376" s="18"/>
    </row>
    <row r="377" spans="2:6" x14ac:dyDescent="0.55000000000000004">
      <c r="B377" s="1">
        <v>365</v>
      </c>
      <c r="C377" s="6">
        <f t="shared" si="10"/>
        <v>-16.532109124741186</v>
      </c>
      <c r="D377" s="6">
        <f t="shared" si="11"/>
        <v>-9.5754565367740678</v>
      </c>
      <c r="E377" s="18"/>
      <c r="F377" s="18"/>
    </row>
    <row r="378" spans="2:6" x14ac:dyDescent="0.55000000000000004">
      <c r="B378" s="1">
        <v>366</v>
      </c>
      <c r="C378" s="6">
        <f t="shared" si="10"/>
        <v>5.7296071186441857</v>
      </c>
      <c r="D378" s="6">
        <f t="shared" si="11"/>
        <v>18.252988858430335</v>
      </c>
      <c r="E378" s="18"/>
      <c r="F378" s="18"/>
    </row>
    <row r="379" spans="2:6" x14ac:dyDescent="0.55000000000000004">
      <c r="B379" s="1">
        <v>367</v>
      </c>
      <c r="C379" s="6">
        <f t="shared" si="10"/>
        <v>8.1162906076659738</v>
      </c>
      <c r="D379" s="6">
        <f t="shared" si="11"/>
        <v>-17.352977461286379</v>
      </c>
      <c r="E379" s="18"/>
      <c r="F379" s="18"/>
    </row>
    <row r="380" spans="2:6" x14ac:dyDescent="0.55000000000000004">
      <c r="B380" s="1">
        <v>368</v>
      </c>
      <c r="C380" s="6">
        <f t="shared" si="10"/>
        <v>-17.730719568522293</v>
      </c>
      <c r="D380" s="6">
        <f t="shared" si="11"/>
        <v>7.3226759850768017</v>
      </c>
      <c r="E380" s="18"/>
      <c r="F380" s="18"/>
    </row>
    <row r="381" spans="2:6" x14ac:dyDescent="0.55000000000000004">
      <c r="B381" s="1">
        <v>369</v>
      </c>
      <c r="C381" s="6">
        <f t="shared" si="10"/>
        <v>18.044814868050164</v>
      </c>
      <c r="D381" s="6">
        <f t="shared" si="11"/>
        <v>6.5867029975394971</v>
      </c>
      <c r="E381" s="18"/>
      <c r="F381" s="18"/>
    </row>
    <row r="382" spans="2:6" x14ac:dyDescent="0.55000000000000004">
      <c r="B382" s="1">
        <v>370</v>
      </c>
      <c r="C382" s="6">
        <f t="shared" si="10"/>
        <v>-8.868085952993054</v>
      </c>
      <c r="D382" s="6">
        <f t="shared" si="11"/>
        <v>-17.069184266693217</v>
      </c>
      <c r="E382" s="18"/>
      <c r="F382" s="18"/>
    </row>
    <row r="383" spans="2:6" x14ac:dyDescent="0.55000000000000004">
      <c r="B383" s="1">
        <v>371</v>
      </c>
      <c r="C383" s="6">
        <f t="shared" si="10"/>
        <v>-4.9981255390926274</v>
      </c>
      <c r="D383" s="6">
        <f t="shared" si="11"/>
        <v>18.601578994684029</v>
      </c>
      <c r="E383" s="18"/>
      <c r="F383" s="18"/>
    </row>
    <row r="384" spans="2:6" x14ac:dyDescent="0.55000000000000004">
      <c r="B384" s="1">
        <v>372</v>
      </c>
      <c r="C384" s="6">
        <f t="shared" si="10"/>
        <v>16.272739392056195</v>
      </c>
      <c r="D384" s="6">
        <f t="shared" si="11"/>
        <v>-10.353644415287913</v>
      </c>
      <c r="E384" s="18"/>
      <c r="F384" s="18"/>
    </row>
    <row r="385" spans="2:6" x14ac:dyDescent="0.55000000000000004">
      <c r="B385" s="1">
        <v>373</v>
      </c>
      <c r="C385" s="6">
        <f t="shared" si="10"/>
        <v>-19.018242249029814</v>
      </c>
      <c r="D385" s="6">
        <f t="shared" si="11"/>
        <v>-3.362508253851189</v>
      </c>
      <c r="E385" s="18"/>
      <c r="F385" s="18"/>
    </row>
    <row r="386" spans="2:6" x14ac:dyDescent="0.55000000000000004">
      <c r="B386" s="1">
        <v>374</v>
      </c>
      <c r="C386" s="6">
        <f t="shared" si="10"/>
        <v>11.767557817996137</v>
      </c>
      <c r="D386" s="6">
        <f t="shared" si="11"/>
        <v>15.346810189746856</v>
      </c>
      <c r="E386" s="18"/>
      <c r="F386" s="18"/>
    </row>
    <row r="387" spans="2:6" x14ac:dyDescent="0.55000000000000004">
      <c r="B387" s="1">
        <v>375</v>
      </c>
      <c r="C387" s="6">
        <f t="shared" si="10"/>
        <v>1.6922291123629802</v>
      </c>
      <c r="D387" s="6">
        <f t="shared" si="11"/>
        <v>-19.290836182790812</v>
      </c>
      <c r="E387" s="18"/>
      <c r="F387" s="18"/>
    </row>
    <row r="388" spans="2:6" x14ac:dyDescent="0.55000000000000004">
      <c r="B388" s="1">
        <v>376</v>
      </c>
      <c r="C388" s="6">
        <f t="shared" si="10"/>
        <v>-14.297854073012843</v>
      </c>
      <c r="D388" s="6">
        <f t="shared" si="11"/>
        <v>13.098525447806333</v>
      </c>
      <c r="E388" s="18"/>
      <c r="F388" s="18"/>
    </row>
    <row r="389" spans="2:6" x14ac:dyDescent="0.55000000000000004">
      <c r="B389" s="1">
        <v>377</v>
      </c>
      <c r="C389" s="6">
        <f t="shared" si="10"/>
        <v>19.416487838947599</v>
      </c>
      <c r="D389" s="6">
        <f t="shared" si="11"/>
        <v>-9.248308720408502E-12</v>
      </c>
      <c r="E389" s="18"/>
      <c r="F389" s="18"/>
    </row>
    <row r="390" spans="2:6" x14ac:dyDescent="0.55000000000000004">
      <c r="B390" s="1">
        <v>378</v>
      </c>
      <c r="C390" s="6">
        <f t="shared" si="10"/>
        <v>-14.33582984793852</v>
      </c>
      <c r="D390" s="6">
        <f t="shared" si="11"/>
        <v>-13.133315749305467</v>
      </c>
      <c r="E390" s="18"/>
      <c r="F390" s="18"/>
    </row>
    <row r="391" spans="2:6" x14ac:dyDescent="0.55000000000000004">
      <c r="B391" s="1">
        <v>379</v>
      </c>
      <c r="C391" s="6">
        <f t="shared" si="10"/>
        <v>1.7012303945693061</v>
      </c>
      <c r="D391" s="6">
        <f t="shared" si="11"/>
        <v>19.393447737434251</v>
      </c>
      <c r="E391" s="18"/>
      <c r="F391" s="18"/>
    </row>
    <row r="392" spans="2:6" x14ac:dyDescent="0.55000000000000004">
      <c r="B392" s="1">
        <v>380</v>
      </c>
      <c r="C392" s="6">
        <f t="shared" si="10"/>
        <v>11.861574421363347</v>
      </c>
      <c r="D392" s="6">
        <f t="shared" si="11"/>
        <v>-15.469423138774721</v>
      </c>
      <c r="E392" s="18"/>
      <c r="F392" s="18"/>
    </row>
    <row r="393" spans="2:6" x14ac:dyDescent="0.55000000000000004">
      <c r="B393" s="1">
        <v>381</v>
      </c>
      <c r="C393" s="6">
        <f t="shared" si="10"/>
        <v>-19.22110923967011</v>
      </c>
      <c r="D393" s="6">
        <f t="shared" si="11"/>
        <v>3.3983760234365499</v>
      </c>
      <c r="E393" s="18"/>
      <c r="F393" s="18"/>
    </row>
    <row r="394" spans="2:6" x14ac:dyDescent="0.55000000000000004">
      <c r="B394" s="1">
        <v>382</v>
      </c>
      <c r="C394" s="6">
        <f t="shared" si="10"/>
        <v>16.490008548437178</v>
      </c>
      <c r="D394" s="6">
        <f t="shared" si="11"/>
        <v>10.491883437804141</v>
      </c>
      <c r="E394" s="18"/>
      <c r="F394" s="18"/>
    </row>
    <row r="395" spans="2:6" x14ac:dyDescent="0.55000000000000004">
      <c r="B395" s="1">
        <v>383</v>
      </c>
      <c r="C395" s="6">
        <f t="shared" si="10"/>
        <v>-5.0783144901290322</v>
      </c>
      <c r="D395" s="6">
        <f t="shared" si="11"/>
        <v>-18.900019098914832</v>
      </c>
      <c r="E395" s="18"/>
      <c r="F395" s="18"/>
    </row>
    <row r="396" spans="2:6" x14ac:dyDescent="0.55000000000000004">
      <c r="B396" s="1">
        <v>384</v>
      </c>
      <c r="C396" s="6">
        <f t="shared" si="10"/>
        <v>-9.0343028286961289</v>
      </c>
      <c r="D396" s="6">
        <f t="shared" si="11"/>
        <v>17.389116492778264</v>
      </c>
      <c r="E396" s="18"/>
      <c r="F396" s="18"/>
    </row>
    <row r="397" spans="2:6" x14ac:dyDescent="0.55000000000000004">
      <c r="B397" s="1">
        <v>385</v>
      </c>
      <c r="C397" s="6">
        <f t="shared" ref="C397:C460" si="12">B397^$C$9*COS(2*PI()*B397/$C$8)</f>
        <v>18.431879071588213</v>
      </c>
      <c r="D397" s="6">
        <f t="shared" ref="D397:D460" si="13">B397^$C$9*SIN(2*PI()*B397/$C$8)</f>
        <v>-6.7279888443983324</v>
      </c>
      <c r="E397" s="18"/>
      <c r="F397" s="18"/>
    </row>
    <row r="398" spans="2:6" x14ac:dyDescent="0.55000000000000004">
      <c r="B398" s="1">
        <v>386</v>
      </c>
      <c r="C398" s="6">
        <f t="shared" si="12"/>
        <v>-18.159174583905536</v>
      </c>
      <c r="D398" s="6">
        <f t="shared" si="13"/>
        <v>-7.4996252193852495</v>
      </c>
      <c r="E398" s="18"/>
      <c r="F398" s="18"/>
    </row>
    <row r="399" spans="2:6" x14ac:dyDescent="0.55000000000000004">
      <c r="B399" s="1">
        <v>387</v>
      </c>
      <c r="C399" s="6">
        <f t="shared" si="12"/>
        <v>8.3345093694116503</v>
      </c>
      <c r="D399" s="6">
        <f t="shared" si="13"/>
        <v>17.819538534181781</v>
      </c>
      <c r="E399" s="18"/>
      <c r="F399" s="18"/>
    </row>
    <row r="400" spans="2:6" x14ac:dyDescent="0.55000000000000004">
      <c r="B400" s="1">
        <v>388</v>
      </c>
      <c r="C400" s="6">
        <f t="shared" si="12"/>
        <v>5.8992956698938732</v>
      </c>
      <c r="D400" s="6">
        <f t="shared" si="13"/>
        <v>-18.793570991144055</v>
      </c>
      <c r="E400" s="18"/>
      <c r="F400" s="18"/>
    </row>
    <row r="401" spans="2:6" x14ac:dyDescent="0.55000000000000004">
      <c r="B401" s="1">
        <v>389</v>
      </c>
      <c r="C401" s="6">
        <f t="shared" si="12"/>
        <v>-17.066978120593248</v>
      </c>
      <c r="D401" s="6">
        <f t="shared" si="13"/>
        <v>9.8852545658263882</v>
      </c>
      <c r="E401" s="18"/>
      <c r="F401" s="18"/>
    </row>
    <row r="402" spans="2:6" x14ac:dyDescent="0.55000000000000004">
      <c r="B402" s="1">
        <v>390</v>
      </c>
      <c r="C402" s="6">
        <f t="shared" si="12"/>
        <v>19.286710627681632</v>
      </c>
      <c r="D402" s="6">
        <f t="shared" si="13"/>
        <v>4.2453260374289759</v>
      </c>
      <c r="E402" s="18"/>
      <c r="F402" s="18"/>
    </row>
    <row r="403" spans="2:6" x14ac:dyDescent="0.55000000000000004">
      <c r="B403" s="1">
        <v>391</v>
      </c>
      <c r="C403" s="6">
        <f t="shared" si="12"/>
        <v>-11.367970539980059</v>
      </c>
      <c r="D403" s="6">
        <f t="shared" si="13"/>
        <v>-16.179284465085146</v>
      </c>
      <c r="E403" s="18"/>
      <c r="F403" s="18"/>
    </row>
    <row r="404" spans="2:6" x14ac:dyDescent="0.55000000000000004">
      <c r="B404" s="1">
        <v>392</v>
      </c>
      <c r="C404" s="6">
        <f t="shared" si="12"/>
        <v>-2.5502045050545221</v>
      </c>
      <c r="D404" s="6">
        <f t="shared" si="13"/>
        <v>19.634063689985311</v>
      </c>
      <c r="E404" s="18"/>
      <c r="F404" s="18"/>
    </row>
    <row r="405" spans="2:6" x14ac:dyDescent="0.55000000000000004">
      <c r="B405" s="1">
        <v>393</v>
      </c>
      <c r="C405" s="6">
        <f t="shared" si="12"/>
        <v>15.162616206181717</v>
      </c>
      <c r="D405" s="6">
        <f t="shared" si="13"/>
        <v>-12.770868012160943</v>
      </c>
      <c r="E405" s="18"/>
      <c r="F405" s="18"/>
    </row>
    <row r="406" spans="2:6" x14ac:dyDescent="0.55000000000000004">
      <c r="B406" s="1">
        <v>394</v>
      </c>
      <c r="C406" s="6">
        <f t="shared" si="12"/>
        <v>-19.832206134763659</v>
      </c>
      <c r="D406" s="6">
        <f t="shared" si="13"/>
        <v>-0.82680096047519414</v>
      </c>
      <c r="E406" s="18"/>
      <c r="F406" s="18"/>
    </row>
    <row r="407" spans="2:6" x14ac:dyDescent="0.55000000000000004">
      <c r="B407" s="1">
        <v>395</v>
      </c>
      <c r="C407" s="6">
        <f t="shared" si="12"/>
        <v>14.082716176192044</v>
      </c>
      <c r="D407" s="6">
        <f t="shared" si="13"/>
        <v>14.024161475853697</v>
      </c>
      <c r="E407" s="18"/>
      <c r="F407" s="18"/>
    </row>
    <row r="408" spans="2:6" x14ac:dyDescent="0.55000000000000004">
      <c r="B408" s="1">
        <v>396</v>
      </c>
      <c r="C408" s="6">
        <f t="shared" si="12"/>
        <v>-0.91173105567975254</v>
      </c>
      <c r="D408" s="6">
        <f t="shared" si="13"/>
        <v>-19.878851739527338</v>
      </c>
      <c r="E408" s="18"/>
      <c r="F408" s="18"/>
    </row>
    <row r="409" spans="2:6" x14ac:dyDescent="0.55000000000000004">
      <c r="B409" s="1">
        <v>397</v>
      </c>
      <c r="C409" s="6">
        <f t="shared" si="12"/>
        <v>-12.772087166064997</v>
      </c>
      <c r="D409" s="6">
        <f t="shared" si="13"/>
        <v>15.292932662587573</v>
      </c>
      <c r="E409" s="18"/>
      <c r="F409" s="18"/>
    </row>
    <row r="410" spans="2:6" x14ac:dyDescent="0.55000000000000004">
      <c r="B410" s="1">
        <v>398</v>
      </c>
      <c r="C410" s="6">
        <f t="shared" si="12"/>
        <v>19.772875457034715</v>
      </c>
      <c r="D410" s="6">
        <f t="shared" si="13"/>
        <v>-2.6520550824962421</v>
      </c>
      <c r="E410" s="18"/>
      <c r="F410" s="18"/>
    </row>
    <row r="411" spans="2:6" x14ac:dyDescent="0.55000000000000004">
      <c r="B411" s="1">
        <v>399</v>
      </c>
      <c r="C411" s="6">
        <f t="shared" si="12"/>
        <v>-16.39166888468597</v>
      </c>
      <c r="D411" s="6">
        <f t="shared" si="13"/>
        <v>-11.415480330446799</v>
      </c>
      <c r="E411" s="18"/>
      <c r="F411" s="18"/>
    </row>
    <row r="412" spans="2:6" x14ac:dyDescent="0.55000000000000004">
      <c r="B412" s="1">
        <v>400</v>
      </c>
      <c r="C412" s="6">
        <f t="shared" si="12"/>
        <v>4.3807543783072775</v>
      </c>
      <c r="D412" s="6">
        <f t="shared" si="13"/>
        <v>19.514327840767194</v>
      </c>
      <c r="E412" s="18"/>
      <c r="F412" s="18"/>
    </row>
    <row r="413" spans="2:6" x14ac:dyDescent="0.55000000000000004">
      <c r="B413" s="1">
        <v>401</v>
      </c>
      <c r="C413" s="6">
        <f t="shared" si="12"/>
        <v>9.9642821419220144</v>
      </c>
      <c r="D413" s="6">
        <f t="shared" si="13"/>
        <v>-17.369890080140809</v>
      </c>
      <c r="E413" s="18"/>
      <c r="F413" s="18"/>
    </row>
    <row r="414" spans="2:6" x14ac:dyDescent="0.55000000000000004">
      <c r="B414" s="1">
        <v>402</v>
      </c>
      <c r="C414" s="6">
        <f t="shared" si="12"/>
        <v>-19.104440387423104</v>
      </c>
      <c r="D414" s="6">
        <f t="shared" si="13"/>
        <v>6.0844356750151487</v>
      </c>
      <c r="E414" s="18"/>
      <c r="F414" s="18"/>
    </row>
    <row r="415" spans="2:6" x14ac:dyDescent="0.55000000000000004">
      <c r="B415" s="1">
        <v>403</v>
      </c>
      <c r="C415" s="6">
        <f t="shared" si="12"/>
        <v>18.219449398478904</v>
      </c>
      <c r="D415" s="6">
        <f t="shared" si="13"/>
        <v>8.4292148872992207</v>
      </c>
      <c r="E415" s="18"/>
      <c r="F415" s="18"/>
    </row>
    <row r="416" spans="2:6" x14ac:dyDescent="0.55000000000000004">
      <c r="B416" s="1">
        <v>404</v>
      </c>
      <c r="C416" s="6">
        <f t="shared" si="12"/>
        <v>-7.7498332424396423</v>
      </c>
      <c r="D416" s="6">
        <f t="shared" si="13"/>
        <v>-18.54562171280266</v>
      </c>
      <c r="E416" s="18"/>
      <c r="F416" s="18"/>
    </row>
    <row r="417" spans="2:6" x14ac:dyDescent="0.55000000000000004">
      <c r="B417" s="1">
        <v>405</v>
      </c>
      <c r="C417" s="6">
        <f t="shared" si="12"/>
        <v>-6.821702536481232</v>
      </c>
      <c r="D417" s="6">
        <f t="shared" si="13"/>
        <v>18.933155429134509</v>
      </c>
      <c r="E417" s="18"/>
      <c r="F417" s="18"/>
    </row>
    <row r="418" spans="2:6" x14ac:dyDescent="0.55000000000000004">
      <c r="B418" s="1">
        <v>406</v>
      </c>
      <c r="C418" s="6">
        <f t="shared" si="12"/>
        <v>17.84144454875436</v>
      </c>
      <c r="D418" s="6">
        <f t="shared" si="13"/>
        <v>-9.3639124522671295</v>
      </c>
      <c r="E418" s="18"/>
      <c r="F418" s="18"/>
    </row>
    <row r="419" spans="2:6" x14ac:dyDescent="0.55000000000000004">
      <c r="B419" s="1">
        <v>407</v>
      </c>
      <c r="C419" s="6">
        <f t="shared" si="12"/>
        <v>-19.504832613037159</v>
      </c>
      <c r="D419" s="6">
        <f t="shared" si="13"/>
        <v>-5.1537854764631188</v>
      </c>
      <c r="E419" s="18"/>
      <c r="F419" s="18"/>
    </row>
    <row r="420" spans="2:6" x14ac:dyDescent="0.55000000000000004">
      <c r="B420" s="1">
        <v>408</v>
      </c>
      <c r="C420" s="6">
        <f t="shared" si="12"/>
        <v>10.913972031306646</v>
      </c>
      <c r="D420" s="6">
        <f t="shared" si="13"/>
        <v>16.996623620585833</v>
      </c>
      <c r="E420" s="18"/>
      <c r="F420" s="18"/>
    </row>
    <row r="421" spans="2:6" x14ac:dyDescent="0.55000000000000004">
      <c r="B421" s="1">
        <v>409</v>
      </c>
      <c r="C421" s="6">
        <f t="shared" si="12"/>
        <v>3.4380300485989328</v>
      </c>
      <c r="D421" s="6">
        <f t="shared" si="13"/>
        <v>-19.929374033946246</v>
      </c>
      <c r="E421" s="18"/>
      <c r="F421" s="18"/>
    </row>
    <row r="422" spans="2:6" x14ac:dyDescent="0.55000000000000004">
      <c r="B422" s="1">
        <v>410</v>
      </c>
      <c r="C422" s="6">
        <f t="shared" si="12"/>
        <v>-16.016984535931542</v>
      </c>
      <c r="D422" s="6">
        <f t="shared" si="13"/>
        <v>12.387744200447868</v>
      </c>
      <c r="E422" s="18"/>
      <c r="F422" s="18"/>
    </row>
    <row r="423" spans="2:6" x14ac:dyDescent="0.55000000000000004">
      <c r="B423" s="1">
        <v>411</v>
      </c>
      <c r="C423" s="6">
        <f t="shared" si="12"/>
        <v>20.202786143077489</v>
      </c>
      <c r="D423" s="6">
        <f t="shared" si="13"/>
        <v>1.6874335711595367</v>
      </c>
      <c r="E423" s="18"/>
      <c r="F423" s="18"/>
    </row>
    <row r="424" spans="2:6" x14ac:dyDescent="0.55000000000000004">
      <c r="B424" s="1">
        <v>412</v>
      </c>
      <c r="C424" s="6">
        <f t="shared" si="12"/>
        <v>-13.773491908823329</v>
      </c>
      <c r="D424" s="6">
        <f t="shared" si="13"/>
        <v>-14.909423886843456</v>
      </c>
      <c r="E424" s="18"/>
      <c r="F424" s="18"/>
    </row>
    <row r="425" spans="2:6" x14ac:dyDescent="0.55000000000000004">
      <c r="B425" s="1">
        <v>413</v>
      </c>
      <c r="C425" s="6">
        <f t="shared" si="12"/>
        <v>8.4674432791556425E-2</v>
      </c>
      <c r="D425" s="6">
        <f t="shared" si="13"/>
        <v>20.32222503173389</v>
      </c>
      <c r="E425" s="18"/>
      <c r="F425" s="18"/>
    </row>
    <row r="426" spans="2:6" x14ac:dyDescent="0.55000000000000004">
      <c r="B426" s="1">
        <v>414</v>
      </c>
      <c r="C426" s="6">
        <f t="shared" si="12"/>
        <v>13.68186083649789</v>
      </c>
      <c r="D426" s="6">
        <f t="shared" si="13"/>
        <v>-15.06010239177361</v>
      </c>
      <c r="E426" s="18"/>
      <c r="F426" s="18"/>
    </row>
    <row r="427" spans="2:6" x14ac:dyDescent="0.55000000000000004">
      <c r="B427" s="1">
        <v>415</v>
      </c>
      <c r="C427" s="6">
        <f t="shared" si="12"/>
        <v>-20.28602393092612</v>
      </c>
      <c r="D427" s="6">
        <f t="shared" si="13"/>
        <v>1.8647340491052993</v>
      </c>
      <c r="E427" s="18"/>
      <c r="F427" s="18"/>
    </row>
    <row r="428" spans="2:6" x14ac:dyDescent="0.55000000000000004">
      <c r="B428" s="1">
        <v>416</v>
      </c>
      <c r="C428" s="6">
        <f t="shared" si="12"/>
        <v>16.237176306681924</v>
      </c>
      <c r="D428" s="6">
        <f t="shared" si="13"/>
        <v>12.343180529576934</v>
      </c>
      <c r="E428" s="18"/>
      <c r="F428" s="18"/>
    </row>
    <row r="429" spans="2:6" x14ac:dyDescent="0.55000000000000004">
      <c r="B429" s="1">
        <v>417</v>
      </c>
      <c r="C429" s="6">
        <f t="shared" si="12"/>
        <v>-3.6390590477791611</v>
      </c>
      <c r="D429" s="6">
        <f t="shared" si="13"/>
        <v>-20.093711684175641</v>
      </c>
      <c r="E429" s="18"/>
      <c r="F429" s="18"/>
    </row>
    <row r="430" spans="2:6" x14ac:dyDescent="0.55000000000000004">
      <c r="B430" s="1">
        <v>418</v>
      </c>
      <c r="C430" s="6">
        <f t="shared" si="12"/>
        <v>-10.903169730797876</v>
      </c>
      <c r="D430" s="6">
        <f t="shared" si="13"/>
        <v>17.295111731972504</v>
      </c>
      <c r="E430" s="18"/>
      <c r="F430" s="18"/>
    </row>
    <row r="431" spans="2:6" x14ac:dyDescent="0.55000000000000004">
      <c r="B431" s="1">
        <v>419</v>
      </c>
      <c r="C431" s="6">
        <f t="shared" si="12"/>
        <v>19.746022009096894</v>
      </c>
      <c r="D431" s="6">
        <f t="shared" si="13"/>
        <v>-5.3939424187009122</v>
      </c>
      <c r="E431" s="18"/>
      <c r="F431" s="18"/>
    </row>
    <row r="432" spans="2:6" x14ac:dyDescent="0.55000000000000004">
      <c r="B432" s="1">
        <v>420</v>
      </c>
      <c r="C432" s="6">
        <f t="shared" si="12"/>
        <v>-18.225182351672821</v>
      </c>
      <c r="D432" s="6">
        <f t="shared" si="13"/>
        <v>-9.3724451584564399</v>
      </c>
      <c r="E432" s="18"/>
      <c r="F432" s="18"/>
    </row>
    <row r="433" spans="2:6" x14ac:dyDescent="0.55000000000000004">
      <c r="B433" s="1">
        <v>421</v>
      </c>
      <c r="C433" s="6">
        <f t="shared" si="12"/>
        <v>7.1157625518997296</v>
      </c>
      <c r="D433" s="6">
        <f t="shared" si="13"/>
        <v>19.244893434492731</v>
      </c>
      <c r="E433" s="18"/>
      <c r="F433" s="18"/>
    </row>
    <row r="434" spans="2:6" x14ac:dyDescent="0.55000000000000004">
      <c r="B434" s="1">
        <v>422</v>
      </c>
      <c r="C434" s="6">
        <f t="shared" si="12"/>
        <v>7.7623750389866863</v>
      </c>
      <c r="D434" s="6">
        <f t="shared" si="13"/>
        <v>-19.019609190362363</v>
      </c>
      <c r="E434" s="18"/>
      <c r="F434" s="18"/>
    </row>
    <row r="435" spans="2:6" x14ac:dyDescent="0.55000000000000004">
      <c r="B435" s="1">
        <v>423</v>
      </c>
      <c r="C435" s="6">
        <f t="shared" si="12"/>
        <v>-18.593459872057782</v>
      </c>
      <c r="D435" s="6">
        <f t="shared" si="13"/>
        <v>8.7910892377552976</v>
      </c>
      <c r="E435" s="18"/>
      <c r="F435" s="18"/>
    </row>
    <row r="436" spans="2:6" x14ac:dyDescent="0.55000000000000004">
      <c r="B436" s="1">
        <v>424</v>
      </c>
      <c r="C436" s="6">
        <f t="shared" si="12"/>
        <v>19.671625311020421</v>
      </c>
      <c r="D436" s="6">
        <f t="shared" si="13"/>
        <v>6.0849944636639384</v>
      </c>
      <c r="E436" s="18"/>
      <c r="F436" s="18"/>
    </row>
    <row r="437" spans="2:6" x14ac:dyDescent="0.55000000000000004">
      <c r="B437" s="1">
        <v>425</v>
      </c>
      <c r="C437" s="6">
        <f t="shared" si="12"/>
        <v>-10.406788660606573</v>
      </c>
      <c r="D437" s="6">
        <f t="shared" si="13"/>
        <v>-17.796031854699255</v>
      </c>
      <c r="E437" s="18"/>
      <c r="F437" s="18"/>
    </row>
    <row r="438" spans="2:6" x14ac:dyDescent="0.55000000000000004">
      <c r="B438" s="1">
        <v>426</v>
      </c>
      <c r="C438" s="6">
        <f t="shared" si="12"/>
        <v>-4.3529151795059358</v>
      </c>
      <c r="D438" s="6">
        <f t="shared" si="13"/>
        <v>20.175532940669171</v>
      </c>
      <c r="E438" s="18"/>
      <c r="F438" s="18"/>
    </row>
    <row r="439" spans="2:6" x14ac:dyDescent="0.55000000000000004">
      <c r="B439" s="1">
        <v>427</v>
      </c>
      <c r="C439" s="6">
        <f t="shared" si="12"/>
        <v>16.858068546508267</v>
      </c>
      <c r="D439" s="6">
        <f t="shared" si="13"/>
        <v>-11.950126563397925</v>
      </c>
      <c r="E439" s="18"/>
      <c r="F439" s="18"/>
    </row>
    <row r="440" spans="2:6" x14ac:dyDescent="0.55000000000000004">
      <c r="B440" s="1">
        <v>428</v>
      </c>
      <c r="C440" s="6">
        <f t="shared" si="12"/>
        <v>-20.526752545544209</v>
      </c>
      <c r="D440" s="6">
        <f t="shared" si="13"/>
        <v>-2.5792304926071061</v>
      </c>
      <c r="E440" s="18"/>
      <c r="F440" s="18"/>
    </row>
    <row r="441" spans="2:6" x14ac:dyDescent="0.55000000000000004">
      <c r="B441" s="1">
        <v>429</v>
      </c>
      <c r="C441" s="6">
        <f t="shared" si="12"/>
        <v>13.408868771811864</v>
      </c>
      <c r="D441" s="6">
        <f t="shared" si="13"/>
        <v>15.786140701904586</v>
      </c>
      <c r="E441" s="18"/>
      <c r="F441" s="18"/>
    </row>
    <row r="442" spans="2:6" x14ac:dyDescent="0.55000000000000004">
      <c r="B442" s="1">
        <v>430</v>
      </c>
      <c r="C442" s="6">
        <f t="shared" si="12"/>
        <v>0.77741600303910718</v>
      </c>
      <c r="D442" s="6">
        <f t="shared" si="13"/>
        <v>-20.721863438364288</v>
      </c>
      <c r="E442" s="18"/>
      <c r="F442" s="18"/>
    </row>
    <row r="443" spans="2:6" x14ac:dyDescent="0.55000000000000004">
      <c r="B443" s="1">
        <v>431</v>
      </c>
      <c r="C443" s="6">
        <f t="shared" si="12"/>
        <v>-14.587884822854196</v>
      </c>
      <c r="D443" s="6">
        <f t="shared" si="13"/>
        <v>14.771378283529952</v>
      </c>
      <c r="E443" s="18"/>
      <c r="F443" s="18"/>
    </row>
    <row r="444" spans="2:6" x14ac:dyDescent="0.55000000000000004">
      <c r="B444" s="1">
        <v>432</v>
      </c>
      <c r="C444" s="6">
        <f t="shared" si="12"/>
        <v>20.758635564533311</v>
      </c>
      <c r="D444" s="6">
        <f t="shared" si="13"/>
        <v>-1.0387730738196661</v>
      </c>
      <c r="E444" s="18"/>
      <c r="F444" s="18"/>
    </row>
    <row r="445" spans="2:6" x14ac:dyDescent="0.55000000000000004">
      <c r="B445" s="1">
        <v>433</v>
      </c>
      <c r="C445" s="6">
        <f t="shared" si="12"/>
        <v>-16.026708151729359</v>
      </c>
      <c r="D445" s="6">
        <f t="shared" si="13"/>
        <v>-13.271948832755941</v>
      </c>
      <c r="E445" s="18"/>
      <c r="F445" s="18"/>
    </row>
    <row r="446" spans="2:6" x14ac:dyDescent="0.55000000000000004">
      <c r="B446" s="1">
        <v>434</v>
      </c>
      <c r="C446" s="6">
        <f t="shared" si="12"/>
        <v>2.8554072149689245</v>
      </c>
      <c r="D446" s="6">
        <f t="shared" si="13"/>
        <v>20.636052181478497</v>
      </c>
      <c r="E446" s="18"/>
      <c r="F446" s="18"/>
    </row>
    <row r="447" spans="2:6" x14ac:dyDescent="0.55000000000000004">
      <c r="B447" s="1">
        <v>435</v>
      </c>
      <c r="C447" s="6">
        <f t="shared" si="12"/>
        <v>11.847929653234333</v>
      </c>
      <c r="D447" s="6">
        <f t="shared" si="13"/>
        <v>-17.164689421367651</v>
      </c>
      <c r="E447" s="18"/>
      <c r="F447" s="18"/>
    </row>
    <row r="448" spans="2:6" x14ac:dyDescent="0.55000000000000004">
      <c r="B448" s="1">
        <v>436</v>
      </c>
      <c r="C448" s="6">
        <f t="shared" si="12"/>
        <v>-20.354323215163987</v>
      </c>
      <c r="D448" s="6">
        <f t="shared" si="13"/>
        <v>4.6584897179919196</v>
      </c>
      <c r="E448" s="18"/>
      <c r="F448" s="18"/>
    </row>
    <row r="449" spans="2:6" x14ac:dyDescent="0.55000000000000004">
      <c r="B449" s="1">
        <v>437</v>
      </c>
      <c r="C449" s="6">
        <f t="shared" si="12"/>
        <v>18.176013412462478</v>
      </c>
      <c r="D449" s="6">
        <f t="shared" si="13"/>
        <v>10.326303134713033</v>
      </c>
      <c r="E449" s="18"/>
      <c r="F449" s="18"/>
    </row>
    <row r="450" spans="2:6" x14ac:dyDescent="0.55000000000000004">
      <c r="B450" s="1">
        <v>438</v>
      </c>
      <c r="C450" s="6">
        <f t="shared" si="12"/>
        <v>-6.4340648238625011</v>
      </c>
      <c r="D450" s="6">
        <f t="shared" si="13"/>
        <v>-19.914889149637141</v>
      </c>
      <c r="E450" s="18"/>
      <c r="F450" s="18"/>
    </row>
    <row r="451" spans="2:6" x14ac:dyDescent="0.55000000000000004">
      <c r="B451" s="1">
        <v>439</v>
      </c>
      <c r="C451" s="6">
        <f t="shared" si="12"/>
        <v>-8.7183468532633182</v>
      </c>
      <c r="D451" s="6">
        <f t="shared" si="13"/>
        <v>19.0523076855848</v>
      </c>
      <c r="E451" s="18"/>
      <c r="F451" s="18"/>
    </row>
    <row r="452" spans="2:6" x14ac:dyDescent="0.55000000000000004">
      <c r="B452" s="1">
        <v>440</v>
      </c>
      <c r="C452" s="6">
        <f t="shared" si="12"/>
        <v>19.320415378676611</v>
      </c>
      <c r="D452" s="6">
        <f t="shared" si="13"/>
        <v>-8.1683259971303954</v>
      </c>
      <c r="E452" s="18"/>
      <c r="F452" s="18"/>
    </row>
    <row r="453" spans="2:6" x14ac:dyDescent="0.55000000000000004">
      <c r="B453" s="1">
        <v>441</v>
      </c>
      <c r="C453" s="6">
        <f t="shared" si="12"/>
        <v>-19.786205071311439</v>
      </c>
      <c r="D453" s="6">
        <f t="shared" si="13"/>
        <v>-7.0360563440047539</v>
      </c>
      <c r="E453" s="18"/>
      <c r="F453" s="18"/>
    </row>
    <row r="454" spans="2:6" x14ac:dyDescent="0.55000000000000004">
      <c r="B454" s="1">
        <v>442</v>
      </c>
      <c r="C454" s="6">
        <f t="shared" si="12"/>
        <v>9.8477235214574428</v>
      </c>
      <c r="D454" s="6">
        <f t="shared" si="13"/>
        <v>18.574777022751412</v>
      </c>
      <c r="E454" s="18"/>
      <c r="F454" s="18"/>
    </row>
    <row r="455" spans="2:6" x14ac:dyDescent="0.55000000000000004">
      <c r="B455" s="1">
        <v>443</v>
      </c>
      <c r="C455" s="6">
        <f t="shared" si="12"/>
        <v>5.2920553947632243</v>
      </c>
      <c r="D455" s="6">
        <f t="shared" si="13"/>
        <v>-20.371405196960698</v>
      </c>
      <c r="E455" s="18"/>
      <c r="F455" s="18"/>
    </row>
    <row r="456" spans="2:6" x14ac:dyDescent="0.55000000000000004">
      <c r="B456" s="1">
        <v>444</v>
      </c>
      <c r="C456" s="6">
        <f t="shared" si="12"/>
        <v>-17.68303428874599</v>
      </c>
      <c r="D456" s="6">
        <f t="shared" si="13"/>
        <v>11.459070570645492</v>
      </c>
      <c r="E456" s="18"/>
      <c r="F456" s="18"/>
    </row>
    <row r="457" spans="2:6" x14ac:dyDescent="0.55000000000000004">
      <c r="B457" s="1">
        <v>445</v>
      </c>
      <c r="C457" s="6">
        <f t="shared" si="12"/>
        <v>20.802728000007583</v>
      </c>
      <c r="D457" s="6">
        <f t="shared" si="13"/>
        <v>3.4995010726817277</v>
      </c>
      <c r="E457" s="18"/>
      <c r="F457" s="18"/>
    </row>
    <row r="458" spans="2:6" x14ac:dyDescent="0.55000000000000004">
      <c r="B458" s="1">
        <v>446</v>
      </c>
      <c r="C458" s="6">
        <f t="shared" si="12"/>
        <v>-12.9896469233086</v>
      </c>
      <c r="D458" s="6">
        <f t="shared" si="13"/>
        <v>-16.651398524081376</v>
      </c>
      <c r="E458" s="18"/>
      <c r="F458" s="18"/>
    </row>
    <row r="459" spans="2:6" x14ac:dyDescent="0.55000000000000004">
      <c r="B459" s="1">
        <v>447</v>
      </c>
      <c r="C459" s="6">
        <f t="shared" si="12"/>
        <v>-1.6719842003195193</v>
      </c>
      <c r="D459" s="6">
        <f t="shared" si="13"/>
        <v>21.076158777962409</v>
      </c>
      <c r="E459" s="18"/>
      <c r="F459" s="18"/>
    </row>
    <row r="460" spans="2:6" x14ac:dyDescent="0.55000000000000004">
      <c r="B460" s="1">
        <v>448</v>
      </c>
      <c r="C460" s="6">
        <f t="shared" si="12"/>
        <v>15.487189189895521</v>
      </c>
      <c r="D460" s="6">
        <f t="shared" si="13"/>
        <v>-14.427299504632993</v>
      </c>
      <c r="E460" s="18"/>
      <c r="F460" s="18"/>
    </row>
    <row r="461" spans="2:6" x14ac:dyDescent="0.55000000000000004">
      <c r="B461" s="1">
        <v>449</v>
      </c>
      <c r="C461" s="6">
        <f t="shared" ref="C461:C524" si="14">B461^$C$9*COS(2*PI()*B461/$C$8)</f>
        <v>-21.188884388642503</v>
      </c>
      <c r="D461" s="6">
        <f t="shared" ref="D461:D524" si="15">B461^$C$9*SIN(2*PI()*B461/$C$8)</f>
        <v>0.17657396394130373</v>
      </c>
      <c r="E461" s="18"/>
      <c r="F461" s="18"/>
    </row>
    <row r="462" spans="2:6" x14ac:dyDescent="0.55000000000000004">
      <c r="B462" s="1">
        <v>450</v>
      </c>
      <c r="C462" s="6">
        <f t="shared" si="14"/>
        <v>15.760538959831123</v>
      </c>
      <c r="D462" s="6">
        <f t="shared" si="15"/>
        <v>14.198782049726848</v>
      </c>
      <c r="E462" s="18"/>
      <c r="F462" s="18"/>
    </row>
    <row r="463" spans="2:6" x14ac:dyDescent="0.55000000000000004">
      <c r="B463" s="1">
        <v>451</v>
      </c>
      <c r="C463" s="6">
        <f t="shared" si="14"/>
        <v>-2.0320280536089368</v>
      </c>
      <c r="D463" s="6">
        <f t="shared" si="15"/>
        <v>-21.139320282103355</v>
      </c>
      <c r="E463" s="18"/>
      <c r="F463" s="18"/>
    </row>
    <row r="464" spans="2:6" x14ac:dyDescent="0.55000000000000004">
      <c r="B464" s="1">
        <v>452</v>
      </c>
      <c r="C464" s="6">
        <f t="shared" si="14"/>
        <v>-12.795548939737253</v>
      </c>
      <c r="D464" s="6">
        <f t="shared" si="15"/>
        <v>16.978631491695346</v>
      </c>
      <c r="E464" s="18"/>
      <c r="F464" s="18"/>
    </row>
    <row r="465" spans="2:6" x14ac:dyDescent="0.55000000000000004">
      <c r="B465" s="1">
        <v>453</v>
      </c>
      <c r="C465" s="6">
        <f t="shared" si="14"/>
        <v>20.927128115661723</v>
      </c>
      <c r="D465" s="6">
        <f t="shared" si="15"/>
        <v>-3.8801171155882064</v>
      </c>
      <c r="E465" s="18"/>
      <c r="F465" s="18"/>
    </row>
    <row r="466" spans="2:6" x14ac:dyDescent="0.55000000000000004">
      <c r="B466" s="1">
        <v>454</v>
      </c>
      <c r="C466" s="6">
        <f t="shared" si="14"/>
        <v>-18.071685228332591</v>
      </c>
      <c r="D466" s="6">
        <f t="shared" si="15"/>
        <v>-11.287789553675493</v>
      </c>
      <c r="E466" s="18"/>
      <c r="F466" s="18"/>
    </row>
    <row r="467" spans="2:6" x14ac:dyDescent="0.55000000000000004">
      <c r="B467" s="1">
        <v>455</v>
      </c>
      <c r="C467" s="6">
        <f t="shared" si="14"/>
        <v>5.706574491057653</v>
      </c>
      <c r="D467" s="6">
        <f t="shared" si="15"/>
        <v>20.553223775797559</v>
      </c>
      <c r="E467" s="18"/>
      <c r="F467" s="18"/>
    </row>
    <row r="468" spans="2:6" x14ac:dyDescent="0.55000000000000004">
      <c r="B468" s="1">
        <v>456</v>
      </c>
      <c r="C468" s="6">
        <f t="shared" si="14"/>
        <v>9.6866557396241912</v>
      </c>
      <c r="D468" s="6">
        <f t="shared" si="15"/>
        <v>-19.030730426917557</v>
      </c>
      <c r="E468" s="18"/>
      <c r="F468" s="18"/>
    </row>
    <row r="469" spans="2:6" x14ac:dyDescent="0.55000000000000004">
      <c r="B469" s="1">
        <v>457</v>
      </c>
      <c r="C469" s="6">
        <f t="shared" si="14"/>
        <v>-20.019775704713325</v>
      </c>
      <c r="D469" s="6">
        <f t="shared" si="15"/>
        <v>7.4972382070313115</v>
      </c>
      <c r="E469" s="18"/>
      <c r="F469" s="18"/>
    </row>
    <row r="470" spans="2:6" x14ac:dyDescent="0.55000000000000004">
      <c r="B470" s="1">
        <v>458</v>
      </c>
      <c r="C470" s="6">
        <f t="shared" si="14"/>
        <v>19.847792864406856</v>
      </c>
      <c r="D470" s="6">
        <f t="shared" si="15"/>
        <v>8.0040688659956061</v>
      </c>
      <c r="E470" s="18"/>
      <c r="F470" s="18"/>
    </row>
    <row r="471" spans="2:6" x14ac:dyDescent="0.55000000000000004">
      <c r="B471" s="1">
        <v>459</v>
      </c>
      <c r="C471" s="6">
        <f t="shared" si="14"/>
        <v>-9.2381610226246984</v>
      </c>
      <c r="D471" s="6">
        <f t="shared" si="15"/>
        <v>-19.330193504464919</v>
      </c>
      <c r="E471" s="18"/>
      <c r="F471" s="18"/>
    </row>
    <row r="472" spans="2:6" x14ac:dyDescent="0.55000000000000004">
      <c r="B472" s="1">
        <v>460</v>
      </c>
      <c r="C472" s="6">
        <f t="shared" si="14"/>
        <v>-6.2526308704882556</v>
      </c>
      <c r="D472" s="6">
        <f t="shared" si="15"/>
        <v>20.515959816626111</v>
      </c>
      <c r="E472" s="18"/>
      <c r="F472" s="18"/>
    </row>
    <row r="473" spans="2:6" x14ac:dyDescent="0.55000000000000004">
      <c r="B473" s="1">
        <v>461</v>
      </c>
      <c r="C473" s="6">
        <f t="shared" si="14"/>
        <v>18.489106867140794</v>
      </c>
      <c r="D473" s="6">
        <f t="shared" si="15"/>
        <v>-10.915719273389508</v>
      </c>
      <c r="E473" s="18"/>
      <c r="F473" s="18"/>
    </row>
    <row r="474" spans="2:6" x14ac:dyDescent="0.55000000000000004">
      <c r="B474" s="1">
        <v>462</v>
      </c>
      <c r="C474" s="6">
        <f t="shared" si="14"/>
        <v>-21.029438082534753</v>
      </c>
      <c r="D474" s="6">
        <f t="shared" si="15"/>
        <v>-4.4455296571766292</v>
      </c>
      <c r="E474" s="18"/>
      <c r="F474" s="18"/>
    </row>
    <row r="475" spans="2:6" x14ac:dyDescent="0.55000000000000004">
      <c r="B475" s="1">
        <v>463</v>
      </c>
      <c r="C475" s="6">
        <f t="shared" si="14"/>
        <v>12.516719662886103</v>
      </c>
      <c r="D475" s="6">
        <f t="shared" si="15"/>
        <v>17.502334955105859</v>
      </c>
      <c r="E475" s="18"/>
      <c r="F475" s="18"/>
    </row>
    <row r="476" spans="2:6" x14ac:dyDescent="0.55000000000000004">
      <c r="B476" s="1">
        <v>464</v>
      </c>
      <c r="C476" s="6">
        <f t="shared" si="14"/>
        <v>2.5964395539062508</v>
      </c>
      <c r="D476" s="6">
        <f t="shared" si="15"/>
        <v>-21.383603570093399</v>
      </c>
      <c r="E476" s="18"/>
      <c r="F476" s="18"/>
    </row>
    <row r="477" spans="2:6" x14ac:dyDescent="0.55000000000000004">
      <c r="B477" s="1">
        <v>465</v>
      </c>
      <c r="C477" s="6">
        <f t="shared" si="14"/>
        <v>-16.376846430199702</v>
      </c>
      <c r="D477" s="6">
        <f t="shared" si="15"/>
        <v>14.028503163262117</v>
      </c>
      <c r="E477" s="18"/>
      <c r="F477" s="18"/>
    </row>
    <row r="478" spans="2:6" x14ac:dyDescent="0.55000000000000004">
      <c r="B478" s="1">
        <v>466</v>
      </c>
      <c r="C478" s="6">
        <f t="shared" si="14"/>
        <v>21.575042024088813</v>
      </c>
      <c r="D478" s="6">
        <f t="shared" si="15"/>
        <v>0.71941758305012271</v>
      </c>
      <c r="E478" s="18"/>
      <c r="F478" s="18"/>
    </row>
    <row r="479" spans="2:6" x14ac:dyDescent="0.55000000000000004">
      <c r="B479" s="1">
        <v>467</v>
      </c>
      <c r="C479" s="6">
        <f t="shared" si="14"/>
        <v>-15.439045205893136</v>
      </c>
      <c r="D479" s="6">
        <f t="shared" si="15"/>
        <v>-15.120710404289483</v>
      </c>
      <c r="E479" s="18"/>
      <c r="F479" s="18"/>
    </row>
    <row r="480" spans="2:6" x14ac:dyDescent="0.55000000000000004">
      <c r="B480" s="1">
        <v>468</v>
      </c>
      <c r="C480" s="6">
        <f t="shared" si="14"/>
        <v>1.1712036654267168</v>
      </c>
      <c r="D480" s="6">
        <f t="shared" si="15"/>
        <v>21.601580543425314</v>
      </c>
      <c r="E480" s="18"/>
      <c r="F480" s="18"/>
    </row>
    <row r="481" spans="2:6" x14ac:dyDescent="0.55000000000000004">
      <c r="B481" s="1">
        <v>469</v>
      </c>
      <c r="C481" s="6">
        <f t="shared" si="14"/>
        <v>13.74303865537275</v>
      </c>
      <c r="D481" s="6">
        <f t="shared" si="15"/>
        <v>-16.737051368653031</v>
      </c>
      <c r="E481" s="18"/>
      <c r="F481" s="18"/>
    </row>
    <row r="482" spans="2:6" x14ac:dyDescent="0.55000000000000004">
      <c r="B482" s="1">
        <v>470</v>
      </c>
      <c r="C482" s="6">
        <f t="shared" si="14"/>
        <v>-21.462309605750896</v>
      </c>
      <c r="D482" s="6">
        <f t="shared" si="15"/>
        <v>3.0609257401794236</v>
      </c>
      <c r="E482" s="18"/>
      <c r="F482" s="18"/>
    </row>
    <row r="483" spans="2:6" x14ac:dyDescent="0.55000000000000004">
      <c r="B483" s="1">
        <v>471</v>
      </c>
      <c r="C483" s="6">
        <f t="shared" si="14"/>
        <v>17.912047798312976</v>
      </c>
      <c r="D483" s="6">
        <f t="shared" si="15"/>
        <v>12.253919522787445</v>
      </c>
      <c r="E483" s="18"/>
      <c r="F483" s="18"/>
    </row>
    <row r="484" spans="2:6" x14ac:dyDescent="0.55000000000000004">
      <c r="B484" s="1">
        <v>472</v>
      </c>
      <c r="C484" s="6">
        <f t="shared" si="14"/>
        <v>-4.9351957723704558</v>
      </c>
      <c r="D484" s="6">
        <f t="shared" si="15"/>
        <v>-21.157595390033734</v>
      </c>
      <c r="E484" s="18"/>
      <c r="F484" s="18"/>
    </row>
    <row r="485" spans="2:6" x14ac:dyDescent="0.55000000000000004">
      <c r="B485" s="1">
        <v>473</v>
      </c>
      <c r="C485" s="6">
        <f t="shared" si="14"/>
        <v>-10.664343961332923</v>
      </c>
      <c r="D485" s="6">
        <f t="shared" si="15"/>
        <v>18.954465644654352</v>
      </c>
      <c r="E485" s="18"/>
      <c r="F485" s="18"/>
    </row>
    <row r="486" spans="2:6" x14ac:dyDescent="0.55000000000000004">
      <c r="B486" s="1">
        <v>474</v>
      </c>
      <c r="C486" s="6">
        <f t="shared" si="14"/>
        <v>20.689082262364629</v>
      </c>
      <c r="D486" s="6">
        <f t="shared" si="15"/>
        <v>-6.7795187986397121</v>
      </c>
      <c r="E486" s="18"/>
      <c r="F486" s="18"/>
    </row>
    <row r="487" spans="2:6" x14ac:dyDescent="0.55000000000000004">
      <c r="B487" s="1">
        <v>475</v>
      </c>
      <c r="C487" s="6">
        <f t="shared" si="14"/>
        <v>-19.855718826473442</v>
      </c>
      <c r="D487" s="6">
        <f t="shared" si="15"/>
        <v>-8.9861242971610515</v>
      </c>
      <c r="E487" s="18"/>
      <c r="F487" s="18"/>
    </row>
    <row r="488" spans="2:6" x14ac:dyDescent="0.55000000000000004">
      <c r="B488" s="1">
        <v>476</v>
      </c>
      <c r="C488" s="6">
        <f t="shared" si="14"/>
        <v>8.5795700945050672</v>
      </c>
      <c r="D488" s="6">
        <f t="shared" si="15"/>
        <v>20.059685366263206</v>
      </c>
      <c r="E488" s="18"/>
      <c r="F488" s="18"/>
    </row>
    <row r="489" spans="2:6" x14ac:dyDescent="0.55000000000000004">
      <c r="B489" s="1">
        <v>477</v>
      </c>
      <c r="C489" s="6">
        <f t="shared" si="14"/>
        <v>7.2318062870729927</v>
      </c>
      <c r="D489" s="6">
        <f t="shared" si="15"/>
        <v>-20.60827449900286</v>
      </c>
      <c r="E489" s="18"/>
      <c r="F489" s="18"/>
    </row>
    <row r="490" spans="2:6" x14ac:dyDescent="0.55000000000000004">
      <c r="B490" s="1">
        <v>478</v>
      </c>
      <c r="C490" s="6">
        <f t="shared" si="14"/>
        <v>-19.273573335540302</v>
      </c>
      <c r="D490" s="6">
        <f t="shared" si="15"/>
        <v>10.321306645941199</v>
      </c>
      <c r="E490" s="18"/>
      <c r="F490" s="18"/>
    </row>
    <row r="491" spans="2:6" x14ac:dyDescent="0.55000000000000004">
      <c r="B491" s="1">
        <v>479</v>
      </c>
      <c r="C491" s="6">
        <f t="shared" si="14"/>
        <v>21.205715646553458</v>
      </c>
      <c r="D491" s="6">
        <f t="shared" si="15"/>
        <v>5.4145751373046673</v>
      </c>
      <c r="E491" s="18"/>
      <c r="F491" s="18"/>
    </row>
    <row r="492" spans="2:6" x14ac:dyDescent="0.55000000000000004">
      <c r="B492" s="1">
        <v>480</v>
      </c>
      <c r="C492" s="6">
        <f t="shared" si="14"/>
        <v>-11.991076890368332</v>
      </c>
      <c r="D492" s="6">
        <f t="shared" si="15"/>
        <v>-18.336141224621787</v>
      </c>
      <c r="E492" s="18"/>
      <c r="F492" s="18"/>
    </row>
    <row r="493" spans="2:6" x14ac:dyDescent="0.55000000000000004">
      <c r="B493" s="1">
        <v>481</v>
      </c>
      <c r="C493" s="6">
        <f t="shared" si="14"/>
        <v>-3.5481561874353074</v>
      </c>
      <c r="D493" s="6">
        <f t="shared" si="15"/>
        <v>21.642795283178291</v>
      </c>
      <c r="E493" s="18"/>
      <c r="F493" s="18"/>
    </row>
    <row r="494" spans="2:6" x14ac:dyDescent="0.55000000000000004">
      <c r="B494" s="1">
        <v>482</v>
      </c>
      <c r="C494" s="6">
        <f t="shared" si="14"/>
        <v>17.25397382771672</v>
      </c>
      <c r="D494" s="6">
        <f t="shared" si="15"/>
        <v>-13.575727868238465</v>
      </c>
      <c r="E494" s="18"/>
      <c r="F494" s="18"/>
    </row>
    <row r="495" spans="2:6" x14ac:dyDescent="0.55000000000000004">
      <c r="B495" s="1">
        <v>483</v>
      </c>
      <c r="C495" s="6">
        <f t="shared" si="14"/>
        <v>-21.915481807430723</v>
      </c>
      <c r="D495" s="6">
        <f t="shared" si="15"/>
        <v>-1.6467110093070265</v>
      </c>
      <c r="E495" s="18"/>
      <c r="F495" s="18"/>
    </row>
    <row r="496" spans="2:6" x14ac:dyDescent="0.55000000000000004">
      <c r="B496" s="1">
        <v>484</v>
      </c>
      <c r="C496" s="6">
        <f t="shared" si="14"/>
        <v>15.062708943266834</v>
      </c>
      <c r="D496" s="6">
        <f t="shared" si="15"/>
        <v>16.034799633622782</v>
      </c>
      <c r="E496" s="18"/>
      <c r="F496" s="18"/>
    </row>
    <row r="497" spans="2:6" x14ac:dyDescent="0.55000000000000004">
      <c r="B497" s="1">
        <v>485</v>
      </c>
      <c r="C497" s="6">
        <f t="shared" si="14"/>
        <v>-0.2752702907554947</v>
      </c>
      <c r="D497" s="6">
        <f t="shared" si="15"/>
        <v>-22.020995124358645</v>
      </c>
      <c r="E497" s="18"/>
      <c r="F497" s="18"/>
    </row>
    <row r="498" spans="2:6" x14ac:dyDescent="0.55000000000000004">
      <c r="B498" s="1">
        <v>486</v>
      </c>
      <c r="C498" s="6">
        <f t="shared" si="14"/>
        <v>-14.687435736678786</v>
      </c>
      <c r="D498" s="6">
        <f t="shared" si="15"/>
        <v>16.440171272858773</v>
      </c>
      <c r="E498" s="18"/>
      <c r="F498" s="18"/>
    </row>
    <row r="499" spans="2:6" x14ac:dyDescent="0.55000000000000004">
      <c r="B499" s="1">
        <v>487</v>
      </c>
      <c r="C499" s="6">
        <f t="shared" si="14"/>
        <v>21.957833218127774</v>
      </c>
      <c r="D499" s="6">
        <f t="shared" si="15"/>
        <v>-2.2030797454664266</v>
      </c>
      <c r="E499" s="18"/>
      <c r="F499" s="18"/>
    </row>
    <row r="500" spans="2:6" x14ac:dyDescent="0.55000000000000004">
      <c r="B500" s="1">
        <v>488</v>
      </c>
      <c r="C500" s="6">
        <f t="shared" si="14"/>
        <v>-17.697062240105115</v>
      </c>
      <c r="D500" s="6">
        <f t="shared" si="15"/>
        <v>-13.221724095965916</v>
      </c>
      <c r="E500" s="18"/>
      <c r="F500" s="18"/>
    </row>
    <row r="501" spans="2:6" x14ac:dyDescent="0.55000000000000004">
      <c r="B501" s="1">
        <v>489</v>
      </c>
      <c r="C501" s="6">
        <f t="shared" si="14"/>
        <v>4.1219043286055115</v>
      </c>
      <c r="D501" s="6">
        <f t="shared" si="15"/>
        <v>21.72578893172405</v>
      </c>
      <c r="E501" s="18"/>
      <c r="F501" s="18"/>
    </row>
    <row r="502" spans="2:6" x14ac:dyDescent="0.55000000000000004">
      <c r="B502" s="1">
        <v>490</v>
      </c>
      <c r="C502" s="6">
        <f t="shared" si="14"/>
        <v>11.648459603544572</v>
      </c>
      <c r="D502" s="6">
        <f t="shared" si="15"/>
        <v>-18.823214094957063</v>
      </c>
      <c r="E502" s="18"/>
      <c r="F502" s="18"/>
    </row>
    <row r="503" spans="2:6" x14ac:dyDescent="0.55000000000000004">
      <c r="B503" s="1">
        <v>491</v>
      </c>
      <c r="C503" s="6">
        <f t="shared" si="14"/>
        <v>-21.325956785374824</v>
      </c>
      <c r="D503" s="6">
        <f t="shared" si="15"/>
        <v>6.0169400186743962</v>
      </c>
      <c r="E503" s="18"/>
      <c r="F503" s="18"/>
    </row>
    <row r="504" spans="2:6" x14ac:dyDescent="0.55000000000000004">
      <c r="B504" s="1">
        <v>492</v>
      </c>
      <c r="C504" s="6">
        <f t="shared" si="14"/>
        <v>19.809426094260342</v>
      </c>
      <c r="D504" s="6">
        <f t="shared" si="15"/>
        <v>9.9793104880065506</v>
      </c>
      <c r="E504" s="18"/>
      <c r="F504" s="18"/>
    </row>
    <row r="505" spans="2:6" x14ac:dyDescent="0.55000000000000004">
      <c r="B505" s="1">
        <v>493</v>
      </c>
      <c r="C505" s="6">
        <f t="shared" si="14"/>
        <v>-7.8735062441081523</v>
      </c>
      <c r="D505" s="6">
        <f t="shared" si="15"/>
        <v>-20.760729742087342</v>
      </c>
      <c r="E505" s="18"/>
      <c r="F505" s="18"/>
    </row>
    <row r="506" spans="2:6" x14ac:dyDescent="0.55000000000000004">
      <c r="B506" s="1">
        <v>494</v>
      </c>
      <c r="C506" s="6">
        <f t="shared" si="14"/>
        <v>-8.2267316411037346</v>
      </c>
      <c r="D506" s="6">
        <f t="shared" si="15"/>
        <v>20.647539478234755</v>
      </c>
      <c r="E506" s="18"/>
      <c r="F506" s="18"/>
    </row>
    <row r="507" spans="2:6" x14ac:dyDescent="0.55000000000000004">
      <c r="B507" s="1">
        <v>495</v>
      </c>
      <c r="C507" s="6">
        <f t="shared" si="14"/>
        <v>20.033785906538537</v>
      </c>
      <c r="D507" s="6">
        <f t="shared" si="15"/>
        <v>-9.677159823573124</v>
      </c>
      <c r="E507" s="18"/>
      <c r="F507" s="18"/>
    </row>
    <row r="508" spans="2:6" x14ac:dyDescent="0.55000000000000004">
      <c r="B508" s="1">
        <v>496</v>
      </c>
      <c r="C508" s="6">
        <f t="shared" si="14"/>
        <v>-21.330504674078053</v>
      </c>
      <c r="D508" s="6">
        <f t="shared" si="15"/>
        <v>-6.4038715125410075</v>
      </c>
      <c r="E508" s="18"/>
      <c r="F508" s="18"/>
    </row>
    <row r="509" spans="2:6" x14ac:dyDescent="0.55000000000000004">
      <c r="B509" s="1">
        <v>497</v>
      </c>
      <c r="C509" s="6">
        <f t="shared" si="14"/>
        <v>11.413807515766997</v>
      </c>
      <c r="D509" s="6">
        <f t="shared" si="15"/>
        <v>19.150065221638826</v>
      </c>
      <c r="E509" s="18"/>
      <c r="F509" s="18"/>
    </row>
    <row r="510" spans="2:6" x14ac:dyDescent="0.55000000000000004">
      <c r="B510" s="1">
        <v>498</v>
      </c>
      <c r="C510" s="6">
        <f t="shared" si="14"/>
        <v>4.5244732702721997</v>
      </c>
      <c r="D510" s="6">
        <f t="shared" si="15"/>
        <v>-21.852440175563743</v>
      </c>
      <c r="E510" s="18"/>
      <c r="F510" s="18"/>
    </row>
    <row r="511" spans="2:6" x14ac:dyDescent="0.55000000000000004">
      <c r="B511" s="1">
        <v>499</v>
      </c>
      <c r="C511" s="6">
        <f t="shared" si="14"/>
        <v>-18.115736305109888</v>
      </c>
      <c r="D511" s="6">
        <f t="shared" si="15"/>
        <v>13.069816300305197</v>
      </c>
      <c r="E511" s="18"/>
      <c r="F511" s="18"/>
    </row>
    <row r="512" spans="2:6" x14ac:dyDescent="0.55000000000000004">
      <c r="B512" s="1">
        <v>500</v>
      </c>
      <c r="C512" s="6">
        <f t="shared" si="14"/>
        <v>22.208682610026891</v>
      </c>
      <c r="D512" s="6">
        <f t="shared" si="15"/>
        <v>2.6027709709248743</v>
      </c>
      <c r="E512" s="18"/>
      <c r="F512" s="18"/>
    </row>
    <row r="513" spans="2:6" x14ac:dyDescent="0.55000000000000004">
      <c r="B513" s="1">
        <v>501</v>
      </c>
      <c r="C513" s="6">
        <f t="shared" si="14"/>
        <v>-14.63212052572973</v>
      </c>
      <c r="D513" s="6">
        <f t="shared" si="15"/>
        <v>-16.938153645557676</v>
      </c>
      <c r="E513" s="18"/>
      <c r="F513" s="18"/>
    </row>
    <row r="514" spans="2:6" x14ac:dyDescent="0.55000000000000004">
      <c r="B514" s="1">
        <v>502</v>
      </c>
      <c r="C514" s="6">
        <f t="shared" si="14"/>
        <v>-0.6533815265489753</v>
      </c>
      <c r="D514" s="6">
        <f t="shared" si="15"/>
        <v>22.395827570794619</v>
      </c>
      <c r="E514" s="18"/>
      <c r="F514" s="18"/>
    </row>
    <row r="515" spans="2:6" x14ac:dyDescent="0.55000000000000004">
      <c r="B515" s="1">
        <v>503</v>
      </c>
      <c r="C515" s="6">
        <f t="shared" si="14"/>
        <v>15.625805453160629</v>
      </c>
      <c r="D515" s="6">
        <f t="shared" si="15"/>
        <v>-16.088325081871499</v>
      </c>
      <c r="E515" s="18"/>
      <c r="F515" s="18"/>
    </row>
    <row r="516" spans="2:6" x14ac:dyDescent="0.55000000000000004">
      <c r="B516" s="1">
        <v>504</v>
      </c>
      <c r="C516" s="6">
        <f t="shared" si="14"/>
        <v>-22.411760863303481</v>
      </c>
      <c r="D516" s="6">
        <f t="shared" si="15"/>
        <v>1.3088067107478063</v>
      </c>
      <c r="E516" s="18"/>
      <c r="F516" s="18"/>
    </row>
    <row r="517" spans="2:6" x14ac:dyDescent="0.55000000000000004">
      <c r="B517" s="1">
        <v>505</v>
      </c>
      <c r="C517" s="6">
        <f t="shared" si="14"/>
        <v>17.426803781420979</v>
      </c>
      <c r="D517" s="6">
        <f t="shared" si="15"/>
        <v>14.188252533834159</v>
      </c>
      <c r="E517" s="18"/>
      <c r="F517" s="18"/>
    </row>
    <row r="518" spans="2:6" x14ac:dyDescent="0.55000000000000004">
      <c r="B518" s="1">
        <v>506</v>
      </c>
      <c r="C518" s="6">
        <f t="shared" si="14"/>
        <v>-3.2687478950156104</v>
      </c>
      <c r="D518" s="6">
        <f t="shared" si="15"/>
        <v>-22.255679886240973</v>
      </c>
      <c r="E518" s="18"/>
      <c r="F518" s="18"/>
    </row>
    <row r="519" spans="2:6" x14ac:dyDescent="0.55000000000000004">
      <c r="B519" s="1">
        <v>507</v>
      </c>
      <c r="C519" s="6">
        <f t="shared" si="14"/>
        <v>-12.636058626840441</v>
      </c>
      <c r="D519" s="6">
        <f t="shared" si="15"/>
        <v>18.636792169765997</v>
      </c>
      <c r="E519" s="18"/>
      <c r="F519" s="18"/>
    </row>
    <row r="520" spans="2:6" x14ac:dyDescent="0.55000000000000004">
      <c r="B520" s="1">
        <v>508</v>
      </c>
      <c r="C520" s="6">
        <f t="shared" si="14"/>
        <v>21.928104944681724</v>
      </c>
      <c r="D520" s="6">
        <f t="shared" si="15"/>
        <v>-5.2113542899158976</v>
      </c>
      <c r="E520" s="18"/>
      <c r="F520" s="18"/>
    </row>
    <row r="521" spans="2:6" x14ac:dyDescent="0.55000000000000004">
      <c r="B521" s="1">
        <v>509</v>
      </c>
      <c r="C521" s="6">
        <f t="shared" si="14"/>
        <v>-19.708474022633187</v>
      </c>
      <c r="D521" s="6">
        <f t="shared" si="15"/>
        <v>-10.980712713626241</v>
      </c>
      <c r="E521" s="18"/>
      <c r="F521" s="18"/>
    </row>
    <row r="522" spans="2:6" x14ac:dyDescent="0.55000000000000004">
      <c r="B522" s="1">
        <v>510</v>
      </c>
      <c r="C522" s="6">
        <f t="shared" si="14"/>
        <v>7.1216126393548445</v>
      </c>
      <c r="D522" s="6">
        <f t="shared" si="15"/>
        <v>21.430880369573742</v>
      </c>
      <c r="E522" s="18"/>
      <c r="F522" s="18"/>
    </row>
    <row r="523" spans="2:6" x14ac:dyDescent="0.55000000000000004">
      <c r="B523" s="1">
        <v>511</v>
      </c>
      <c r="C523" s="6">
        <f t="shared" si="14"/>
        <v>9.2345438699706861</v>
      </c>
      <c r="D523" s="6">
        <f t="shared" si="15"/>
        <v>-20.633060837248234</v>
      </c>
      <c r="E523" s="18"/>
      <c r="F523" s="18"/>
    </row>
    <row r="524" spans="2:6" x14ac:dyDescent="0.55000000000000004">
      <c r="B524" s="1">
        <v>512</v>
      </c>
      <c r="C524" s="6">
        <f t="shared" si="14"/>
        <v>-20.767165396659315</v>
      </c>
      <c r="D524" s="6">
        <f t="shared" si="15"/>
        <v>8.9847004061235101</v>
      </c>
      <c r="E524" s="18"/>
      <c r="F524" s="18"/>
    </row>
    <row r="525" spans="2:6" x14ac:dyDescent="0.55000000000000004">
      <c r="B525" s="1">
        <v>513</v>
      </c>
      <c r="C525" s="6">
        <f t="shared" ref="C525:C588" si="16">B525^$C$9*COS(2*PI()*B525/$C$8)</f>
        <v>21.402863674603914</v>
      </c>
      <c r="D525" s="6">
        <f t="shared" ref="D525:D588" si="17">B525^$C$9*SIN(2*PI()*B525/$C$8)</f>
        <v>7.4106292935431766</v>
      </c>
      <c r="E525" s="18"/>
      <c r="F525" s="18"/>
    </row>
    <row r="526" spans="2:6" x14ac:dyDescent="0.55000000000000004">
      <c r="B526" s="1">
        <v>514</v>
      </c>
      <c r="C526" s="6">
        <f t="shared" si="16"/>
        <v>-10.786100977207685</v>
      </c>
      <c r="D526" s="6">
        <f t="shared" si="17"/>
        <v>-19.941414837204491</v>
      </c>
      <c r="E526" s="18"/>
      <c r="F526" s="18"/>
    </row>
    <row r="527" spans="2:6" x14ac:dyDescent="0.55000000000000004">
      <c r="B527" s="1">
        <v>515</v>
      </c>
      <c r="C527" s="6">
        <f t="shared" si="16"/>
        <v>-5.5226961941051478</v>
      </c>
      <c r="D527" s="6">
        <f t="shared" si="17"/>
        <v>22.011356767532899</v>
      </c>
      <c r="E527" s="18"/>
      <c r="F527" s="18"/>
    </row>
    <row r="528" spans="2:6" x14ac:dyDescent="0.55000000000000004">
      <c r="B528" s="1">
        <v>516</v>
      </c>
      <c r="C528" s="6">
        <f t="shared" si="16"/>
        <v>18.959349652310564</v>
      </c>
      <c r="D528" s="6">
        <f t="shared" si="17"/>
        <v>-12.511716938990876</v>
      </c>
      <c r="E528" s="18"/>
      <c r="F528" s="18"/>
    </row>
    <row r="529" spans="2:6" x14ac:dyDescent="0.55000000000000004">
      <c r="B529" s="1">
        <v>517</v>
      </c>
      <c r="C529" s="6">
        <f t="shared" si="16"/>
        <v>-22.453232370946981</v>
      </c>
      <c r="D529" s="6">
        <f t="shared" si="17"/>
        <v>-3.5850182839503901</v>
      </c>
      <c r="E529" s="18"/>
      <c r="F529" s="18"/>
    </row>
    <row r="530" spans="2:6" x14ac:dyDescent="0.55000000000000004">
      <c r="B530" s="1">
        <v>518</v>
      </c>
      <c r="C530" s="6">
        <f t="shared" si="16"/>
        <v>14.147980537429072</v>
      </c>
      <c r="D530" s="6">
        <f t="shared" si="17"/>
        <v>17.827917621318768</v>
      </c>
      <c r="E530" s="18"/>
      <c r="F530" s="18"/>
    </row>
    <row r="531" spans="2:6" x14ac:dyDescent="0.55000000000000004">
      <c r="B531" s="1">
        <v>519</v>
      </c>
      <c r="C531" s="6">
        <f t="shared" si="16"/>
        <v>1.6123076506147465</v>
      </c>
      <c r="D531" s="6">
        <f t="shared" si="17"/>
        <v>-22.724446396772116</v>
      </c>
      <c r="E531" s="18"/>
      <c r="F531" s="18"/>
    </row>
    <row r="532" spans="2:6" x14ac:dyDescent="0.55000000000000004">
      <c r="B532" s="1">
        <v>520</v>
      </c>
      <c r="C532" s="6">
        <f t="shared" si="16"/>
        <v>-16.555244372456279</v>
      </c>
      <c r="D532" s="6">
        <f t="shared" si="17"/>
        <v>15.681960456787751</v>
      </c>
      <c r="E532" s="18"/>
      <c r="F532" s="18"/>
    </row>
    <row r="533" spans="2:6" x14ac:dyDescent="0.55000000000000004">
      <c r="B533" s="1">
        <v>521</v>
      </c>
      <c r="C533" s="6">
        <f t="shared" si="16"/>
        <v>22.822254445935485</v>
      </c>
      <c r="D533" s="6">
        <f t="shared" si="17"/>
        <v>-0.38039716741572038</v>
      </c>
      <c r="E533" s="18"/>
      <c r="F533" s="18"/>
    </row>
    <row r="534" spans="2:6" x14ac:dyDescent="0.55000000000000004">
      <c r="B534" s="1">
        <v>522</v>
      </c>
      <c r="C534" s="6">
        <f t="shared" si="16"/>
        <v>-17.101464076126216</v>
      </c>
      <c r="D534" s="6">
        <f t="shared" si="17"/>
        <v>-15.150575119544623</v>
      </c>
      <c r="E534" s="18"/>
      <c r="F534" s="18"/>
    </row>
    <row r="535" spans="2:6" x14ac:dyDescent="0.55000000000000004">
      <c r="B535" s="1">
        <v>523</v>
      </c>
      <c r="C535" s="6">
        <f t="shared" si="16"/>
        <v>2.3778460488097677</v>
      </c>
      <c r="D535" s="6">
        <f t="shared" si="17"/>
        <v>22.745237922874313</v>
      </c>
      <c r="E535" s="18"/>
      <c r="F535" s="18"/>
    </row>
    <row r="536" spans="2:6" x14ac:dyDescent="0.55000000000000004">
      <c r="B536" s="1">
        <v>524</v>
      </c>
      <c r="C536" s="6">
        <f t="shared" si="16"/>
        <v>13.624207522018438</v>
      </c>
      <c r="D536" s="6">
        <f t="shared" si="17"/>
        <v>-18.395134394642955</v>
      </c>
      <c r="E536" s="18"/>
      <c r="F536" s="18"/>
    </row>
    <row r="537" spans="2:6" x14ac:dyDescent="0.55000000000000004">
      <c r="B537" s="1">
        <v>525</v>
      </c>
      <c r="C537" s="6">
        <f t="shared" si="16"/>
        <v>-22.493319993876959</v>
      </c>
      <c r="D537" s="6">
        <f t="shared" si="17"/>
        <v>4.3646942221712424</v>
      </c>
      <c r="E537" s="18"/>
      <c r="F537" s="18"/>
    </row>
    <row r="538" spans="2:6" x14ac:dyDescent="0.55000000000000004">
      <c r="B538" s="1">
        <v>526</v>
      </c>
      <c r="C538" s="6">
        <f t="shared" si="16"/>
        <v>19.55254085549532</v>
      </c>
      <c r="D538" s="6">
        <f t="shared" si="17"/>
        <v>11.987416155877224</v>
      </c>
      <c r="E538" s="18"/>
      <c r="F538" s="18"/>
    </row>
    <row r="539" spans="2:6" x14ac:dyDescent="0.55000000000000004">
      <c r="B539" s="1">
        <v>527</v>
      </c>
      <c r="C539" s="6">
        <f t="shared" si="16"/>
        <v>-6.325620365332977</v>
      </c>
      <c r="D539" s="6">
        <f t="shared" si="17"/>
        <v>-22.067771228506171</v>
      </c>
      <c r="E539" s="18"/>
      <c r="F539" s="18"/>
    </row>
    <row r="540" spans="2:6" x14ac:dyDescent="0.55000000000000004">
      <c r="B540" s="1">
        <v>528</v>
      </c>
      <c r="C540" s="6">
        <f t="shared" si="16"/>
        <v>-10.252369149959815</v>
      </c>
      <c r="D540" s="6">
        <f t="shared" si="17"/>
        <v>20.564263342336194</v>
      </c>
      <c r="E540" s="18"/>
      <c r="F540" s="18"/>
    </row>
    <row r="541" spans="2:6" x14ac:dyDescent="0.55000000000000004">
      <c r="B541" s="1">
        <v>529</v>
      </c>
      <c r="C541" s="6">
        <f t="shared" si="16"/>
        <v>21.471204842802706</v>
      </c>
      <c r="D541" s="6">
        <f t="shared" si="17"/>
        <v>-8.2454449606073847</v>
      </c>
      <c r="E541" s="18"/>
      <c r="F541" s="18"/>
    </row>
    <row r="542" spans="2:6" x14ac:dyDescent="0.55000000000000004">
      <c r="B542" s="1">
        <v>530</v>
      </c>
      <c r="C542" s="6">
        <f t="shared" si="16"/>
        <v>-21.421968673098309</v>
      </c>
      <c r="D542" s="6">
        <f t="shared" si="17"/>
        <v>-8.4320376048019767</v>
      </c>
      <c r="E542" s="18"/>
      <c r="F542" s="18"/>
    </row>
    <row r="543" spans="2:6" x14ac:dyDescent="0.55000000000000004">
      <c r="B543" s="1">
        <v>531</v>
      </c>
      <c r="C543" s="6">
        <f t="shared" si="16"/>
        <v>10.109247990172578</v>
      </c>
      <c r="D543" s="6">
        <f t="shared" si="17"/>
        <v>20.707561543387762</v>
      </c>
      <c r="E543" s="18"/>
      <c r="F543" s="18"/>
    </row>
    <row r="544" spans="2:6" x14ac:dyDescent="0.55000000000000004">
      <c r="B544" s="1">
        <v>532</v>
      </c>
      <c r="C544" s="6">
        <f t="shared" si="16"/>
        <v>6.540098469303306</v>
      </c>
      <c r="D544" s="6">
        <f t="shared" si="17"/>
        <v>-22.118478971480311</v>
      </c>
      <c r="E544" s="18"/>
      <c r="F544" s="18"/>
    </row>
    <row r="545" spans="2:6" x14ac:dyDescent="0.55000000000000004">
      <c r="B545" s="1">
        <v>533</v>
      </c>
      <c r="C545" s="6">
        <f t="shared" si="16"/>
        <v>-19.782084052145358</v>
      </c>
      <c r="D545" s="6">
        <f t="shared" si="17"/>
        <v>11.902485057913591</v>
      </c>
      <c r="E545" s="18"/>
      <c r="F545" s="18"/>
    </row>
    <row r="546" spans="2:6" x14ac:dyDescent="0.55000000000000004">
      <c r="B546" s="1">
        <v>534</v>
      </c>
      <c r="C546" s="6">
        <f t="shared" si="16"/>
        <v>22.647831357214489</v>
      </c>
      <c r="D546" s="6">
        <f t="shared" si="17"/>
        <v>4.5908316038787822</v>
      </c>
      <c r="E546" s="18"/>
      <c r="F546" s="18"/>
    </row>
    <row r="547" spans="2:6" x14ac:dyDescent="0.55000000000000004">
      <c r="B547" s="1">
        <v>535</v>
      </c>
      <c r="C547" s="6">
        <f t="shared" si="16"/>
        <v>-13.611101032591627</v>
      </c>
      <c r="D547" s="6">
        <f t="shared" si="17"/>
        <v>-18.701281471615335</v>
      </c>
      <c r="E547" s="18"/>
      <c r="F547" s="18"/>
    </row>
    <row r="548" spans="2:6" x14ac:dyDescent="0.55000000000000004">
      <c r="B548" s="1">
        <v>536</v>
      </c>
      <c r="C548" s="6">
        <f t="shared" si="16"/>
        <v>-2.5990118061842868</v>
      </c>
      <c r="D548" s="6">
        <f t="shared" si="17"/>
        <v>23.005328461713273</v>
      </c>
      <c r="E548" s="18"/>
      <c r="F548" s="18"/>
    </row>
    <row r="549" spans="2:6" x14ac:dyDescent="0.55000000000000004">
      <c r="B549" s="1">
        <v>537</v>
      </c>
      <c r="C549" s="6">
        <f t="shared" si="16"/>
        <v>17.47288373046143</v>
      </c>
      <c r="D549" s="6">
        <f t="shared" si="17"/>
        <v>-15.221640323624001</v>
      </c>
      <c r="E549" s="18"/>
      <c r="F549" s="18"/>
    </row>
    <row r="550" spans="2:6" x14ac:dyDescent="0.55000000000000004">
      <c r="B550" s="1">
        <v>538</v>
      </c>
      <c r="C550" s="6">
        <f t="shared" si="16"/>
        <v>-23.187579345041474</v>
      </c>
      <c r="D550" s="6">
        <f t="shared" si="17"/>
        <v>-0.57979661727703591</v>
      </c>
      <c r="E550" s="18"/>
      <c r="F550" s="18"/>
    </row>
    <row r="551" spans="2:6" x14ac:dyDescent="0.55000000000000004">
      <c r="B551" s="1">
        <v>539</v>
      </c>
      <c r="C551" s="6">
        <f t="shared" si="16"/>
        <v>16.7213529235386</v>
      </c>
      <c r="D551" s="6">
        <f t="shared" si="17"/>
        <v>16.105786426203075</v>
      </c>
      <c r="E551" s="18"/>
      <c r="F551" s="18"/>
    </row>
    <row r="552" spans="2:6" x14ac:dyDescent="0.55000000000000004">
      <c r="B552" s="1">
        <v>540</v>
      </c>
      <c r="C552" s="6">
        <f t="shared" si="16"/>
        <v>-1.4513892380549411</v>
      </c>
      <c r="D552" s="6">
        <f t="shared" si="17"/>
        <v>-23.192530463053362</v>
      </c>
      <c r="E552" s="18"/>
      <c r="F552" s="18"/>
    </row>
    <row r="553" spans="2:6" x14ac:dyDescent="0.55000000000000004">
      <c r="B553" s="1">
        <v>541</v>
      </c>
      <c r="C553" s="6">
        <f t="shared" si="16"/>
        <v>-14.609986458000401</v>
      </c>
      <c r="D553" s="6">
        <f t="shared" si="17"/>
        <v>18.09829538097566</v>
      </c>
      <c r="E553" s="18"/>
      <c r="F553" s="18"/>
    </row>
    <row r="554" spans="2:6" x14ac:dyDescent="0.55000000000000004">
      <c r="B554" s="1">
        <v>542</v>
      </c>
      <c r="C554" s="6">
        <f t="shared" si="16"/>
        <v>23.019486409540399</v>
      </c>
      <c r="D554" s="6">
        <f t="shared" si="17"/>
        <v>-3.478971894250511</v>
      </c>
      <c r="E554" s="18"/>
      <c r="F554" s="18"/>
    </row>
    <row r="555" spans="2:6" x14ac:dyDescent="0.55000000000000004">
      <c r="B555" s="1">
        <v>543</v>
      </c>
      <c r="C555" s="6">
        <f t="shared" si="16"/>
        <v>-19.341425904641735</v>
      </c>
      <c r="D555" s="6">
        <f t="shared" si="17"/>
        <v>-12.996508914906869</v>
      </c>
      <c r="E555" s="18"/>
      <c r="F555" s="18"/>
    </row>
    <row r="556" spans="2:6" x14ac:dyDescent="0.55000000000000004">
      <c r="B556" s="1">
        <v>544</v>
      </c>
      <c r="C556" s="6">
        <f t="shared" si="16"/>
        <v>5.4873479663555669</v>
      </c>
      <c r="D556" s="6">
        <f t="shared" si="17"/>
        <v>22.669120236483227</v>
      </c>
      <c r="E556" s="18"/>
      <c r="F556" s="18"/>
    </row>
    <row r="557" spans="2:6" x14ac:dyDescent="0.55000000000000004">
      <c r="B557" s="1">
        <v>545</v>
      </c>
      <c r="C557" s="6">
        <f t="shared" si="16"/>
        <v>11.277325754662959</v>
      </c>
      <c r="D557" s="6">
        <f t="shared" si="17"/>
        <v>-20.440692841075997</v>
      </c>
      <c r="E557" s="18"/>
      <c r="F557" s="18"/>
    </row>
    <row r="558" spans="2:6" x14ac:dyDescent="0.55000000000000004">
      <c r="B558" s="1">
        <v>546</v>
      </c>
      <c r="C558" s="6">
        <f t="shared" si="16"/>
        <v>-22.143473235638623</v>
      </c>
      <c r="D558" s="6">
        <f t="shared" si="17"/>
        <v>7.4610048292811149</v>
      </c>
      <c r="E558" s="18"/>
      <c r="F558" s="18"/>
    </row>
    <row r="559" spans="2:6" x14ac:dyDescent="0.55000000000000004">
      <c r="B559" s="1">
        <v>547</v>
      </c>
      <c r="C559" s="6">
        <f t="shared" si="16"/>
        <v>21.387115818059922</v>
      </c>
      <c r="D559" s="6">
        <f t="shared" si="17"/>
        <v>9.4652668734109771</v>
      </c>
      <c r="E559" s="18"/>
      <c r="F559" s="18"/>
    </row>
    <row r="560" spans="2:6" x14ac:dyDescent="0.55000000000000004">
      <c r="B560" s="1">
        <v>548</v>
      </c>
      <c r="C560" s="6">
        <f t="shared" si="16"/>
        <v>-9.3846406264660853</v>
      </c>
      <c r="D560" s="6">
        <f t="shared" si="17"/>
        <v>-21.445944145970408</v>
      </c>
      <c r="E560" s="18"/>
      <c r="F560" s="18"/>
    </row>
    <row r="561" spans="2:6" x14ac:dyDescent="0.55000000000000004">
      <c r="B561" s="1">
        <v>549</v>
      </c>
      <c r="C561" s="6">
        <f t="shared" si="16"/>
        <v>-7.5739242277242118</v>
      </c>
      <c r="D561" s="6">
        <f t="shared" si="17"/>
        <v>22.172858899850784</v>
      </c>
      <c r="E561" s="18"/>
      <c r="F561" s="18"/>
    </row>
    <row r="562" spans="2:6" x14ac:dyDescent="0.55000000000000004">
      <c r="B562" s="1">
        <v>550</v>
      </c>
      <c r="C562" s="6">
        <f t="shared" si="16"/>
        <v>20.581267833264789</v>
      </c>
      <c r="D562" s="6">
        <f t="shared" si="17"/>
        <v>-11.243283078150272</v>
      </c>
      <c r="E562" s="18"/>
      <c r="F562" s="18"/>
    </row>
    <row r="563" spans="2:6" x14ac:dyDescent="0.55000000000000004">
      <c r="B563" s="1">
        <v>551</v>
      </c>
      <c r="C563" s="6">
        <f t="shared" si="16"/>
        <v>-22.791295159944394</v>
      </c>
      <c r="D563" s="6">
        <f t="shared" si="17"/>
        <v>-5.6175497267309735</v>
      </c>
      <c r="E563" s="18"/>
      <c r="F563" s="18"/>
    </row>
    <row r="564" spans="2:6" x14ac:dyDescent="0.55000000000000004">
      <c r="B564" s="1">
        <v>552</v>
      </c>
      <c r="C564" s="6">
        <f t="shared" si="16"/>
        <v>13.022406165573713</v>
      </c>
      <c r="D564" s="6">
        <f t="shared" si="17"/>
        <v>19.555483570058495</v>
      </c>
      <c r="E564" s="18"/>
      <c r="F564" s="18"/>
    </row>
    <row r="565" spans="2:6" x14ac:dyDescent="0.55000000000000004">
      <c r="B565" s="1">
        <v>553</v>
      </c>
      <c r="C565" s="6">
        <f t="shared" si="16"/>
        <v>3.6109476626250636</v>
      </c>
      <c r="D565" s="6">
        <f t="shared" si="17"/>
        <v>-23.237062141711945</v>
      </c>
      <c r="E565" s="18"/>
      <c r="F565" s="18"/>
    </row>
    <row r="566" spans="2:6" x14ac:dyDescent="0.55000000000000004">
      <c r="B566" s="1">
        <v>554</v>
      </c>
      <c r="C566" s="6">
        <f t="shared" si="16"/>
        <v>-18.375893124938546</v>
      </c>
      <c r="D566" s="6">
        <f t="shared" si="17"/>
        <v>14.708043780898812</v>
      </c>
      <c r="E566" s="18"/>
      <c r="F566" s="18"/>
    </row>
    <row r="567" spans="2:6" x14ac:dyDescent="0.55000000000000004">
      <c r="B567" s="1">
        <v>555</v>
      </c>
      <c r="C567" s="6">
        <f t="shared" si="16"/>
        <v>23.506107745993379</v>
      </c>
      <c r="D567" s="6">
        <f t="shared" si="17"/>
        <v>1.5693624927817309</v>
      </c>
      <c r="E567" s="18"/>
      <c r="F567" s="18"/>
    </row>
    <row r="568" spans="2:6" x14ac:dyDescent="0.55000000000000004">
      <c r="B568" s="1">
        <v>556</v>
      </c>
      <c r="C568" s="6">
        <f t="shared" si="16"/>
        <v>-16.286899452724626</v>
      </c>
      <c r="D568" s="6">
        <f t="shared" si="17"/>
        <v>-17.051008950113136</v>
      </c>
      <c r="E568" s="18"/>
      <c r="F568" s="18"/>
    </row>
    <row r="569" spans="2:6" x14ac:dyDescent="0.55000000000000004">
      <c r="B569" s="1">
        <v>557</v>
      </c>
      <c r="C569" s="6">
        <f t="shared" si="16"/>
        <v>0.4916371742093929</v>
      </c>
      <c r="D569" s="6">
        <f t="shared" si="17"/>
        <v>23.595726157271265</v>
      </c>
      <c r="E569" s="18"/>
      <c r="F569" s="18"/>
    </row>
    <row r="570" spans="2:6" x14ac:dyDescent="0.55000000000000004">
      <c r="B570" s="1">
        <v>558</v>
      </c>
      <c r="C570" s="6">
        <f t="shared" si="16"/>
        <v>15.590492833748865</v>
      </c>
      <c r="D570" s="6">
        <f t="shared" si="17"/>
        <v>-17.746451284716763</v>
      </c>
      <c r="E570" s="18"/>
      <c r="F570" s="18"/>
    </row>
    <row r="571" spans="2:6" x14ac:dyDescent="0.55000000000000004">
      <c r="B571" s="1">
        <v>559</v>
      </c>
      <c r="C571" s="6">
        <f t="shared" si="16"/>
        <v>-23.504583496010206</v>
      </c>
      <c r="D571" s="6">
        <f t="shared" si="17"/>
        <v>2.5562775043184476</v>
      </c>
      <c r="E571" s="18"/>
      <c r="F571" s="18"/>
    </row>
    <row r="572" spans="2:6" x14ac:dyDescent="0.55000000000000004">
      <c r="B572" s="1">
        <v>560</v>
      </c>
      <c r="C572" s="6">
        <f t="shared" si="16"/>
        <v>19.075051278996199</v>
      </c>
      <c r="D572" s="6">
        <f t="shared" si="17"/>
        <v>14.005085458634856</v>
      </c>
      <c r="E572" s="18"/>
      <c r="F572" s="18"/>
    </row>
    <row r="573" spans="2:6" x14ac:dyDescent="0.55000000000000004">
      <c r="B573" s="1">
        <v>561</v>
      </c>
      <c r="C573" s="6">
        <f t="shared" si="16"/>
        <v>-4.6087003656177723</v>
      </c>
      <c r="D573" s="6">
        <f t="shared" si="17"/>
        <v>-23.232732963212797</v>
      </c>
      <c r="E573" s="18"/>
      <c r="F573" s="18"/>
    </row>
    <row r="574" spans="2:6" x14ac:dyDescent="0.55000000000000004">
      <c r="B574" s="1">
        <v>562</v>
      </c>
      <c r="C574" s="6">
        <f t="shared" si="16"/>
        <v>-12.306527380888635</v>
      </c>
      <c r="D574" s="6">
        <f t="shared" si="17"/>
        <v>20.262018256418539</v>
      </c>
      <c r="E574" s="18"/>
      <c r="F574" s="18"/>
    </row>
    <row r="575" spans="2:6" x14ac:dyDescent="0.55000000000000004">
      <c r="B575" s="1">
        <v>563</v>
      </c>
      <c r="C575" s="6">
        <f t="shared" si="16"/>
        <v>22.781619323890631</v>
      </c>
      <c r="D575" s="6">
        <f t="shared" si="17"/>
        <v>-6.6330853289651772</v>
      </c>
      <c r="E575" s="18"/>
      <c r="F575" s="18"/>
    </row>
    <row r="576" spans="2:6" x14ac:dyDescent="0.55000000000000004">
      <c r="B576" s="1">
        <v>564</v>
      </c>
      <c r="C576" s="6">
        <f t="shared" si="16"/>
        <v>-21.297723633050428</v>
      </c>
      <c r="D576" s="6">
        <f t="shared" si="17"/>
        <v>-10.5074720104412</v>
      </c>
      <c r="E576" s="18"/>
      <c r="F576" s="18"/>
    </row>
    <row r="577" spans="2:6" x14ac:dyDescent="0.55000000000000004">
      <c r="B577" s="1">
        <v>565</v>
      </c>
      <c r="C577" s="6">
        <f t="shared" si="16"/>
        <v>8.6137718019793468</v>
      </c>
      <c r="D577" s="6">
        <f t="shared" si="17"/>
        <v>22.154072658168868</v>
      </c>
      <c r="E577" s="18"/>
      <c r="F577" s="18"/>
    </row>
    <row r="578" spans="2:6" x14ac:dyDescent="0.55000000000000004">
      <c r="B578" s="1">
        <v>566</v>
      </c>
      <c r="C578" s="6">
        <f t="shared" si="16"/>
        <v>8.6213912389052076</v>
      </c>
      <c r="D578" s="6">
        <f t="shared" si="17"/>
        <v>-22.173669364941123</v>
      </c>
      <c r="E578" s="18"/>
      <c r="F578" s="18"/>
    </row>
    <row r="579" spans="2:6" x14ac:dyDescent="0.55000000000000004">
      <c r="B579" s="1">
        <v>567</v>
      </c>
      <c r="C579" s="6">
        <f t="shared" si="16"/>
        <v>-21.354291391717954</v>
      </c>
      <c r="D579" s="6">
        <f t="shared" si="17"/>
        <v>10.535380351824063</v>
      </c>
      <c r="E579" s="18"/>
      <c r="F579" s="18"/>
    </row>
    <row r="580" spans="2:6" x14ac:dyDescent="0.55000000000000004">
      <c r="B580" s="1">
        <v>568</v>
      </c>
      <c r="C580" s="6">
        <f t="shared" si="16"/>
        <v>22.882557431487957</v>
      </c>
      <c r="D580" s="6">
        <f t="shared" si="17"/>
        <v>6.662474419812451</v>
      </c>
      <c r="E580" s="18"/>
      <c r="F580" s="18"/>
    </row>
    <row r="581" spans="2:6" x14ac:dyDescent="0.55000000000000004">
      <c r="B581" s="1">
        <v>569</v>
      </c>
      <c r="C581" s="6">
        <f t="shared" si="16"/>
        <v>-12.382932276022142</v>
      </c>
      <c r="D581" s="6">
        <f t="shared" si="17"/>
        <v>-20.387814700145011</v>
      </c>
      <c r="E581" s="18"/>
      <c r="F581" s="18"/>
    </row>
    <row r="582" spans="2:6" x14ac:dyDescent="0.55000000000000004">
      <c r="B582" s="1">
        <v>570</v>
      </c>
      <c r="C582" s="6">
        <f t="shared" si="16"/>
        <v>-4.6455214597331072</v>
      </c>
      <c r="D582" s="6">
        <f t="shared" si="17"/>
        <v>23.418350291324092</v>
      </c>
      <c r="E582" s="18"/>
      <c r="F582" s="18"/>
    </row>
    <row r="583" spans="2:6" x14ac:dyDescent="0.55000000000000004">
      <c r="B583" s="1">
        <v>571</v>
      </c>
      <c r="C583" s="6">
        <f t="shared" si="16"/>
        <v>19.261484464733805</v>
      </c>
      <c r="D583" s="6">
        <f t="shared" si="17"/>
        <v>-14.141966490372491</v>
      </c>
      <c r="E583" s="18"/>
      <c r="F583" s="18"/>
    </row>
    <row r="584" spans="2:6" x14ac:dyDescent="0.55000000000000004">
      <c r="B584" s="1">
        <v>572</v>
      </c>
      <c r="C584" s="6">
        <f t="shared" si="16"/>
        <v>-23.776321812533947</v>
      </c>
      <c r="D584" s="6">
        <f t="shared" si="17"/>
        <v>-2.5858308271854309</v>
      </c>
      <c r="E584" s="18"/>
      <c r="F584" s="18"/>
    </row>
    <row r="585" spans="2:6" x14ac:dyDescent="0.55000000000000004">
      <c r="B585" s="1">
        <v>573</v>
      </c>
      <c r="C585" s="6">
        <f t="shared" si="16"/>
        <v>15.798652821091553</v>
      </c>
      <c r="D585" s="6">
        <f t="shared" si="17"/>
        <v>17.983397038341117</v>
      </c>
      <c r="E585" s="18"/>
      <c r="F585" s="18"/>
    </row>
    <row r="586" spans="2:6" x14ac:dyDescent="0.55000000000000004">
      <c r="B586" s="1">
        <v>574</v>
      </c>
      <c r="C586" s="6">
        <f t="shared" si="16"/>
        <v>0.49908332799803667</v>
      </c>
      <c r="D586" s="6">
        <f t="shared" si="17"/>
        <v>-23.953098251201542</v>
      </c>
      <c r="E586" s="18"/>
      <c r="F586" s="18"/>
    </row>
    <row r="587" spans="2:6" x14ac:dyDescent="0.55000000000000004">
      <c r="B587" s="1">
        <v>575</v>
      </c>
      <c r="C587" s="6">
        <f t="shared" si="16"/>
        <v>-16.562845159959263</v>
      </c>
      <c r="D587" s="6">
        <f t="shared" si="17"/>
        <v>17.339900813073125</v>
      </c>
      <c r="E587" s="18"/>
      <c r="F587" s="18"/>
    </row>
    <row r="588" spans="2:6" x14ac:dyDescent="0.55000000000000004">
      <c r="B588" s="1">
        <v>576</v>
      </c>
      <c r="C588" s="6">
        <f t="shared" si="16"/>
        <v>23.946688927845706</v>
      </c>
      <c r="D588" s="6">
        <f t="shared" si="17"/>
        <v>-1.5987774682524711</v>
      </c>
      <c r="E588" s="18"/>
      <c r="F588" s="18"/>
    </row>
    <row r="589" spans="2:6" x14ac:dyDescent="0.55000000000000004">
      <c r="B589" s="1">
        <v>577</v>
      </c>
      <c r="C589" s="6">
        <f t="shared" ref="C589:C652" si="18">B589^$C$9*COS(2*PI()*B589/$C$8)</f>
        <v>-18.75346319769633</v>
      </c>
      <c r="D589" s="6">
        <f t="shared" ref="D589:D652" si="19">B589^$C$9*SIN(2*PI()*B589/$C$8)</f>
        <v>-15.01025043404171</v>
      </c>
      <c r="E589" s="18"/>
      <c r="F589" s="18"/>
    </row>
    <row r="590" spans="2:6" x14ac:dyDescent="0.55000000000000004">
      <c r="B590" s="1">
        <v>578</v>
      </c>
      <c r="C590" s="6">
        <f t="shared" si="18"/>
        <v>3.6916672375460555</v>
      </c>
      <c r="D590" s="6">
        <f t="shared" si="19"/>
        <v>23.756506329997872</v>
      </c>
      <c r="E590" s="18"/>
      <c r="F590" s="18"/>
    </row>
    <row r="591" spans="2:6" x14ac:dyDescent="0.55000000000000004">
      <c r="B591" s="1">
        <v>579</v>
      </c>
      <c r="C591" s="6">
        <f t="shared" si="18"/>
        <v>13.33708686490422</v>
      </c>
      <c r="D591" s="6">
        <f t="shared" si="19"/>
        <v>-20.028033202439008</v>
      </c>
      <c r="E591" s="18"/>
      <c r="F591" s="18"/>
    </row>
    <row r="592" spans="2:6" x14ac:dyDescent="0.55000000000000004">
      <c r="B592" s="1">
        <v>580</v>
      </c>
      <c r="C592" s="6">
        <f t="shared" si="18"/>
        <v>-23.383375450076553</v>
      </c>
      <c r="D592" s="6">
        <f t="shared" si="19"/>
        <v>5.7634844114265826</v>
      </c>
      <c r="E592" s="18"/>
      <c r="F592" s="18"/>
    </row>
    <row r="593" spans="2:6" x14ac:dyDescent="0.55000000000000004">
      <c r="B593" s="1">
        <v>581</v>
      </c>
      <c r="C593" s="6">
        <f t="shared" si="18"/>
        <v>21.153334929351459</v>
      </c>
      <c r="D593" s="6">
        <f t="shared" si="19"/>
        <v>11.555796007488174</v>
      </c>
      <c r="E593" s="18"/>
      <c r="F593" s="18"/>
    </row>
    <row r="594" spans="2:6" x14ac:dyDescent="0.55000000000000004">
      <c r="B594" s="1">
        <v>582</v>
      </c>
      <c r="C594" s="6">
        <f t="shared" si="18"/>
        <v>-7.7982342376863203</v>
      </c>
      <c r="D594" s="6">
        <f t="shared" si="19"/>
        <v>-22.829532250446498</v>
      </c>
      <c r="E594" s="18"/>
      <c r="F594" s="18"/>
    </row>
    <row r="595" spans="2:6" x14ac:dyDescent="0.55000000000000004">
      <c r="B595" s="1">
        <v>583</v>
      </c>
      <c r="C595" s="6">
        <f t="shared" si="18"/>
        <v>-9.6796943625376137</v>
      </c>
      <c r="D595" s="6">
        <f t="shared" si="19"/>
        <v>22.120206080591959</v>
      </c>
      <c r="E595" s="18"/>
      <c r="F595" s="18"/>
    </row>
    <row r="596" spans="2:6" x14ac:dyDescent="0.55000000000000004">
      <c r="B596" s="1">
        <v>584</v>
      </c>
      <c r="C596" s="6">
        <f t="shared" si="18"/>
        <v>22.098611231374957</v>
      </c>
      <c r="D596" s="6">
        <f t="shared" si="19"/>
        <v>-9.7801524346274178</v>
      </c>
      <c r="E596" s="18"/>
      <c r="F596" s="18"/>
    </row>
    <row r="597" spans="2:6" x14ac:dyDescent="0.55000000000000004">
      <c r="B597" s="1">
        <v>585</v>
      </c>
      <c r="C597" s="6">
        <f t="shared" si="18"/>
        <v>-22.920672366209399</v>
      </c>
      <c r="D597" s="6">
        <f t="shared" si="19"/>
        <v>-7.7228737061332753</v>
      </c>
      <c r="E597" s="18"/>
      <c r="F597" s="18"/>
    </row>
    <row r="598" spans="2:6" x14ac:dyDescent="0.55000000000000004">
      <c r="B598" s="1">
        <v>586</v>
      </c>
      <c r="C598" s="6">
        <f t="shared" si="18"/>
        <v>11.693827481812409</v>
      </c>
      <c r="D598" s="6">
        <f t="shared" si="19"/>
        <v>21.195622161795789</v>
      </c>
      <c r="E598" s="18"/>
      <c r="F598" s="18"/>
    </row>
    <row r="599" spans="2:6" x14ac:dyDescent="0.55000000000000004">
      <c r="B599" s="1">
        <v>587</v>
      </c>
      <c r="C599" s="6">
        <f t="shared" si="18"/>
        <v>5.7000951007816978</v>
      </c>
      <c r="D599" s="6">
        <f t="shared" si="19"/>
        <v>-23.54801299137667</v>
      </c>
      <c r="E599" s="18"/>
      <c r="F599" s="18"/>
    </row>
    <row r="600" spans="2:6" x14ac:dyDescent="0.55000000000000004">
      <c r="B600" s="1">
        <v>588</v>
      </c>
      <c r="C600" s="6">
        <f t="shared" si="18"/>
        <v>-20.126916116974655</v>
      </c>
      <c r="D600" s="6">
        <f t="shared" si="19"/>
        <v>13.524320597363324</v>
      </c>
      <c r="E600" s="18"/>
      <c r="F600" s="18"/>
    </row>
    <row r="601" spans="2:6" x14ac:dyDescent="0.55000000000000004">
      <c r="B601" s="1">
        <v>589</v>
      </c>
      <c r="C601" s="6">
        <f t="shared" si="18"/>
        <v>23.996816687541163</v>
      </c>
      <c r="D601" s="6">
        <f t="shared" si="19"/>
        <v>3.6266773863339363</v>
      </c>
      <c r="E601" s="18"/>
      <c r="F601" s="18"/>
    </row>
    <row r="602" spans="2:6" x14ac:dyDescent="0.55000000000000004">
      <c r="B602" s="1">
        <v>590</v>
      </c>
      <c r="C602" s="6">
        <f t="shared" si="18"/>
        <v>-15.257282467049352</v>
      </c>
      <c r="D602" s="6">
        <f t="shared" si="19"/>
        <v>-18.900141050285004</v>
      </c>
      <c r="E602" s="18"/>
      <c r="F602" s="18"/>
    </row>
    <row r="603" spans="2:6" x14ac:dyDescent="0.55000000000000004">
      <c r="B603" s="1">
        <v>591</v>
      </c>
      <c r="C603" s="6">
        <f t="shared" si="18"/>
        <v>-1.5183809942855226</v>
      </c>
      <c r="D603" s="6">
        <f t="shared" si="19"/>
        <v>24.263027823340444</v>
      </c>
      <c r="E603" s="18"/>
      <c r="F603" s="18"/>
    </row>
    <row r="604" spans="2:6" x14ac:dyDescent="0.55000000000000004">
      <c r="B604" s="1">
        <v>592</v>
      </c>
      <c r="C604" s="6">
        <f t="shared" si="18"/>
        <v>17.524187208084044</v>
      </c>
      <c r="D604" s="6">
        <f t="shared" si="19"/>
        <v>-16.879065812302041</v>
      </c>
      <c r="E604" s="18"/>
      <c r="F604" s="18"/>
    </row>
    <row r="605" spans="2:6" x14ac:dyDescent="0.55000000000000004">
      <c r="B605" s="1">
        <v>593</v>
      </c>
      <c r="C605" s="6">
        <f t="shared" si="18"/>
        <v>-24.343982206335188</v>
      </c>
      <c r="D605" s="6">
        <f t="shared" si="19"/>
        <v>0.6087120317817627</v>
      </c>
      <c r="E605" s="18"/>
      <c r="F605" s="18"/>
    </row>
    <row r="606" spans="2:6" x14ac:dyDescent="0.55000000000000004">
      <c r="B606" s="1">
        <v>594</v>
      </c>
      <c r="C606" s="6">
        <f t="shared" si="18"/>
        <v>18.376832913569938</v>
      </c>
      <c r="D606" s="6">
        <f t="shared" si="19"/>
        <v>16.009122776302664</v>
      </c>
      <c r="E606" s="18"/>
      <c r="F606" s="18"/>
    </row>
    <row r="607" spans="2:6" x14ac:dyDescent="0.55000000000000004">
      <c r="B607" s="1">
        <v>595</v>
      </c>
      <c r="C607" s="6">
        <f t="shared" si="18"/>
        <v>-2.7383208949403977</v>
      </c>
      <c r="D607" s="6">
        <f t="shared" si="19"/>
        <v>-24.238432265233921</v>
      </c>
      <c r="E607" s="18"/>
      <c r="F607" s="18"/>
    </row>
    <row r="608" spans="2:6" x14ac:dyDescent="0.55000000000000004">
      <c r="B608" s="1">
        <v>596</v>
      </c>
      <c r="C608" s="6">
        <f t="shared" si="18"/>
        <v>-14.366120224041126</v>
      </c>
      <c r="D608" s="6">
        <f t="shared" si="19"/>
        <v>19.738657241778036</v>
      </c>
      <c r="E608" s="18"/>
      <c r="F608" s="18"/>
    </row>
    <row r="609" spans="2:6" x14ac:dyDescent="0.55000000000000004">
      <c r="B609" s="1">
        <v>597</v>
      </c>
      <c r="C609" s="6">
        <f t="shared" si="18"/>
        <v>23.946561383385937</v>
      </c>
      <c r="D609" s="6">
        <f t="shared" si="19"/>
        <v>-4.8540908429621794</v>
      </c>
      <c r="E609" s="18"/>
      <c r="F609" s="18"/>
    </row>
    <row r="610" spans="2:6" x14ac:dyDescent="0.55000000000000004">
      <c r="B610" s="1">
        <v>598</v>
      </c>
      <c r="C610" s="6">
        <f t="shared" si="18"/>
        <v>-20.953618393244618</v>
      </c>
      <c r="D610" s="6">
        <f t="shared" si="19"/>
        <v>-12.607373883179665</v>
      </c>
      <c r="E610" s="18"/>
      <c r="F610" s="18"/>
    </row>
    <row r="611" spans="2:6" x14ac:dyDescent="0.55000000000000004">
      <c r="B611" s="1">
        <v>599</v>
      </c>
      <c r="C611" s="6">
        <f t="shared" si="18"/>
        <v>6.9397189474641863</v>
      </c>
      <c r="D611" s="6">
        <f t="shared" si="19"/>
        <v>23.469987237538209</v>
      </c>
      <c r="E611" s="18"/>
      <c r="F611" s="18"/>
    </row>
    <row r="612" spans="2:6" x14ac:dyDescent="0.55000000000000004">
      <c r="B612" s="1">
        <v>600</v>
      </c>
      <c r="C612" s="6">
        <f t="shared" si="18"/>
        <v>10.746009372350196</v>
      </c>
      <c r="D612" s="6">
        <f t="shared" si="19"/>
        <v>-22.011889572895864</v>
      </c>
      <c r="E612" s="18"/>
      <c r="F612" s="18"/>
    </row>
    <row r="613" spans="2:6" x14ac:dyDescent="0.55000000000000004">
      <c r="B613" s="1">
        <v>601</v>
      </c>
      <c r="C613" s="6">
        <f t="shared" si="18"/>
        <v>-22.811754080450914</v>
      </c>
      <c r="D613" s="6">
        <f t="shared" si="19"/>
        <v>8.9790798956814655</v>
      </c>
      <c r="E613" s="18"/>
      <c r="F613" s="18"/>
    </row>
    <row r="614" spans="2:6" x14ac:dyDescent="0.55000000000000004">
      <c r="B614" s="1">
        <v>602</v>
      </c>
      <c r="C614" s="6">
        <f t="shared" si="18"/>
        <v>22.904816925807332</v>
      </c>
      <c r="D614" s="6">
        <f t="shared" si="19"/>
        <v>8.7959855385994068</v>
      </c>
      <c r="E614" s="18"/>
      <c r="F614" s="18"/>
    </row>
    <row r="615" spans="2:6" x14ac:dyDescent="0.55000000000000004">
      <c r="B615" s="1">
        <v>603</v>
      </c>
      <c r="C615" s="6">
        <f t="shared" si="18"/>
        <v>-10.956350822991206</v>
      </c>
      <c r="D615" s="6">
        <f t="shared" si="19"/>
        <v>-21.976313991284798</v>
      </c>
      <c r="E615" s="18"/>
      <c r="F615" s="18"/>
    </row>
    <row r="616" spans="2:6" x14ac:dyDescent="0.55000000000000004">
      <c r="B616" s="1">
        <v>604</v>
      </c>
      <c r="C616" s="6">
        <f t="shared" si="18"/>
        <v>-6.7719896503571864</v>
      </c>
      <c r="D616" s="6">
        <f t="shared" si="19"/>
        <v>23.624990077785327</v>
      </c>
      <c r="E616" s="18"/>
      <c r="F616" s="18"/>
    </row>
    <row r="617" spans="2:6" x14ac:dyDescent="0.55000000000000004">
      <c r="B617" s="1">
        <v>605</v>
      </c>
      <c r="C617" s="6">
        <f t="shared" si="18"/>
        <v>20.969497203124746</v>
      </c>
      <c r="D617" s="6">
        <f t="shared" si="19"/>
        <v>-12.856134218657781</v>
      </c>
      <c r="E617" s="18"/>
      <c r="F617" s="18"/>
    </row>
    <row r="618" spans="2:6" x14ac:dyDescent="0.55000000000000004">
      <c r="B618" s="1">
        <v>606</v>
      </c>
      <c r="C618" s="6">
        <f t="shared" si="18"/>
        <v>-24.166303311860691</v>
      </c>
      <c r="D618" s="6">
        <f t="shared" si="19"/>
        <v>-4.6893266296080265</v>
      </c>
      <c r="E618" s="18"/>
      <c r="F618" s="18"/>
    </row>
    <row r="619" spans="2:6" x14ac:dyDescent="0.55000000000000004">
      <c r="B619" s="1">
        <v>607</v>
      </c>
      <c r="C619" s="6">
        <f t="shared" si="18"/>
        <v>14.663577949321869</v>
      </c>
      <c r="D619" s="6">
        <f t="shared" si="19"/>
        <v>19.798471701728936</v>
      </c>
      <c r="E619" s="18"/>
      <c r="F619" s="18"/>
    </row>
    <row r="620" spans="2:6" x14ac:dyDescent="0.55000000000000004">
      <c r="B620" s="1">
        <v>608</v>
      </c>
      <c r="C620" s="6">
        <f t="shared" si="18"/>
        <v>2.5638031597120454</v>
      </c>
      <c r="D620" s="6">
        <f t="shared" si="19"/>
        <v>-24.524006878123533</v>
      </c>
      <c r="E620" s="18"/>
      <c r="F620" s="18"/>
    </row>
    <row r="621" spans="2:6" x14ac:dyDescent="0.55000000000000004">
      <c r="B621" s="1">
        <v>609</v>
      </c>
      <c r="C621" s="6">
        <f t="shared" si="18"/>
        <v>-18.47169237339142</v>
      </c>
      <c r="D621" s="6">
        <f t="shared" si="19"/>
        <v>16.364491463616989</v>
      </c>
      <c r="E621" s="18"/>
      <c r="F621" s="18"/>
    </row>
    <row r="622" spans="2:6" x14ac:dyDescent="0.55000000000000004">
      <c r="B622" s="1">
        <v>610</v>
      </c>
      <c r="C622" s="6">
        <f t="shared" si="18"/>
        <v>24.694748008968258</v>
      </c>
      <c r="D622" s="6">
        <f t="shared" si="19"/>
        <v>0.41160754798490706</v>
      </c>
      <c r="E622" s="18"/>
      <c r="F622" s="18"/>
    </row>
    <row r="623" spans="2:6" x14ac:dyDescent="0.55000000000000004">
      <c r="B623" s="1">
        <v>611</v>
      </c>
      <c r="C623" s="6">
        <f t="shared" si="18"/>
        <v>-17.945457268437359</v>
      </c>
      <c r="D623" s="6">
        <f t="shared" si="19"/>
        <v>-16.998840061212668</v>
      </c>
      <c r="E623" s="18"/>
      <c r="F623" s="18"/>
    </row>
    <row r="624" spans="2:6" x14ac:dyDescent="0.55000000000000004">
      <c r="B624" s="1">
        <v>612</v>
      </c>
      <c r="C624" s="6">
        <f t="shared" si="18"/>
        <v>1.7508137429481905</v>
      </c>
      <c r="D624" s="6">
        <f t="shared" si="19"/>
        <v>24.676601290240594</v>
      </c>
      <c r="E624" s="18"/>
      <c r="F624" s="18"/>
    </row>
    <row r="625" spans="2:6" x14ac:dyDescent="0.55000000000000004">
      <c r="B625" s="1">
        <v>613</v>
      </c>
      <c r="C625" s="6">
        <f t="shared" si="18"/>
        <v>15.39075096854434</v>
      </c>
      <c r="D625" s="6">
        <f t="shared" si="19"/>
        <v>-19.393936800563505</v>
      </c>
      <c r="E625" s="18"/>
      <c r="F625" s="18"/>
    </row>
    <row r="626" spans="2:6" x14ac:dyDescent="0.55000000000000004">
      <c r="B626" s="1">
        <v>614</v>
      </c>
      <c r="C626" s="6">
        <f t="shared" si="18"/>
        <v>-24.469088119856917</v>
      </c>
      <c r="D626" s="6">
        <f t="shared" si="19"/>
        <v>3.906881951464241</v>
      </c>
      <c r="E626" s="18"/>
      <c r="F626" s="18"/>
    </row>
    <row r="627" spans="2:6" x14ac:dyDescent="0.55000000000000004">
      <c r="B627" s="1">
        <v>615</v>
      </c>
      <c r="C627" s="6">
        <f t="shared" si="18"/>
        <v>20.698369858302641</v>
      </c>
      <c r="D627" s="6">
        <f t="shared" si="19"/>
        <v>13.659336924203489</v>
      </c>
      <c r="E627" s="18"/>
      <c r="F627" s="18"/>
    </row>
    <row r="628" spans="2:6" x14ac:dyDescent="0.55000000000000004">
      <c r="B628" s="1">
        <v>616</v>
      </c>
      <c r="C628" s="6">
        <f t="shared" si="18"/>
        <v>-6.0400132970419085</v>
      </c>
      <c r="D628" s="6">
        <f t="shared" si="19"/>
        <v>-24.073185069108678</v>
      </c>
      <c r="E628" s="18"/>
      <c r="F628" s="18"/>
    </row>
    <row r="629" spans="2:6" x14ac:dyDescent="0.55000000000000004">
      <c r="B629" s="1">
        <v>617</v>
      </c>
      <c r="C629" s="6">
        <f t="shared" si="18"/>
        <v>-11.817497096266028</v>
      </c>
      <c r="D629" s="6">
        <f t="shared" si="19"/>
        <v>21.848266804937733</v>
      </c>
      <c r="E629" s="18"/>
      <c r="F629" s="18"/>
    </row>
    <row r="630" spans="2:6" x14ac:dyDescent="0.55000000000000004">
      <c r="B630" s="1">
        <v>618</v>
      </c>
      <c r="C630" s="6">
        <f t="shared" si="18"/>
        <v>23.491321047035882</v>
      </c>
      <c r="D630" s="6">
        <f t="shared" si="19"/>
        <v>-8.1337467052453096</v>
      </c>
      <c r="E630" s="18"/>
      <c r="F630" s="18"/>
    </row>
    <row r="631" spans="2:6" x14ac:dyDescent="0.55000000000000004">
      <c r="B631" s="1">
        <v>619</v>
      </c>
      <c r="C631" s="6">
        <f t="shared" si="18"/>
        <v>-22.834292809028398</v>
      </c>
      <c r="D631" s="6">
        <f t="shared" si="19"/>
        <v>-9.8790218094482398</v>
      </c>
      <c r="E631" s="18"/>
      <c r="F631" s="18"/>
    </row>
    <row r="632" spans="2:6" x14ac:dyDescent="0.55000000000000004">
      <c r="B632" s="1">
        <v>620</v>
      </c>
      <c r="C632" s="6">
        <f t="shared" si="18"/>
        <v>10.171870992843157</v>
      </c>
      <c r="D632" s="6">
        <f t="shared" si="19"/>
        <v>22.727363254565102</v>
      </c>
      <c r="E632" s="18"/>
      <c r="F632" s="18"/>
    </row>
    <row r="633" spans="2:6" x14ac:dyDescent="0.55000000000000004">
      <c r="B633" s="1">
        <v>621</v>
      </c>
      <c r="C633" s="6">
        <f t="shared" si="18"/>
        <v>7.8584891838747311</v>
      </c>
      <c r="D633" s="6">
        <f t="shared" si="19"/>
        <v>-23.648343446146999</v>
      </c>
      <c r="E633" s="18"/>
      <c r="F633" s="18"/>
    </row>
    <row r="634" spans="2:6" x14ac:dyDescent="0.55000000000000004">
      <c r="B634" s="1">
        <v>622</v>
      </c>
      <c r="C634" s="6">
        <f t="shared" si="18"/>
        <v>-21.786592001655418</v>
      </c>
      <c r="D634" s="6">
        <f t="shared" si="19"/>
        <v>12.138550529342625</v>
      </c>
      <c r="E634" s="18"/>
      <c r="F634" s="18"/>
    </row>
    <row r="635" spans="2:6" x14ac:dyDescent="0.55000000000000004">
      <c r="B635" s="1">
        <v>623</v>
      </c>
      <c r="C635" s="6">
        <f t="shared" si="18"/>
        <v>24.283611051176244</v>
      </c>
      <c r="D635" s="6">
        <f t="shared" si="19"/>
        <v>5.7711553709106598</v>
      </c>
      <c r="E635" s="18"/>
      <c r="F635" s="18"/>
    </row>
    <row r="636" spans="2:6" x14ac:dyDescent="0.55000000000000004">
      <c r="B636" s="1">
        <v>624</v>
      </c>
      <c r="C636" s="6">
        <f t="shared" si="18"/>
        <v>-14.018448399682732</v>
      </c>
      <c r="D636" s="6">
        <f t="shared" si="19"/>
        <v>-20.675664547129621</v>
      </c>
      <c r="E636" s="18"/>
      <c r="F636" s="18"/>
    </row>
    <row r="637" spans="2:6" x14ac:dyDescent="0.55000000000000004">
      <c r="B637" s="1">
        <v>625</v>
      </c>
      <c r="C637" s="6">
        <f t="shared" si="18"/>
        <v>-3.63283921364203</v>
      </c>
      <c r="D637" s="6">
        <f t="shared" si="19"/>
        <v>24.734641279950367</v>
      </c>
      <c r="E637" s="18"/>
      <c r="F637" s="18"/>
    </row>
    <row r="638" spans="2:6" x14ac:dyDescent="0.55000000000000004">
      <c r="B638" s="1">
        <v>626</v>
      </c>
      <c r="C638" s="6">
        <f t="shared" si="18"/>
        <v>19.40256820614966</v>
      </c>
      <c r="D638" s="6">
        <f t="shared" si="19"/>
        <v>-15.796846109452053</v>
      </c>
      <c r="E638" s="18"/>
      <c r="F638" s="18"/>
    </row>
    <row r="639" spans="2:6" x14ac:dyDescent="0.55000000000000004">
      <c r="B639" s="1">
        <v>627</v>
      </c>
      <c r="C639" s="6">
        <f t="shared" si="18"/>
        <v>-24.997379413095739</v>
      </c>
      <c r="D639" s="6">
        <f t="shared" si="19"/>
        <v>-1.4598022050049166</v>
      </c>
      <c r="E639" s="18"/>
      <c r="F639" s="18"/>
    </row>
    <row r="640" spans="2:6" x14ac:dyDescent="0.55000000000000004">
      <c r="B640" s="1">
        <v>628</v>
      </c>
      <c r="C640" s="6">
        <f t="shared" si="18"/>
        <v>17.459758897753627</v>
      </c>
      <c r="D640" s="6">
        <f t="shared" si="19"/>
        <v>17.9765630539409</v>
      </c>
      <c r="E640" s="18"/>
      <c r="F640" s="18"/>
    </row>
    <row r="641" spans="2:6" x14ac:dyDescent="0.55000000000000004">
      <c r="B641" s="1">
        <v>629</v>
      </c>
      <c r="C641" s="6">
        <f t="shared" si="18"/>
        <v>-0.73137534404389648</v>
      </c>
      <c r="D641" s="6">
        <f t="shared" si="19"/>
        <v>-25.069206012678677</v>
      </c>
      <c r="E641" s="18"/>
      <c r="F641" s="18"/>
    </row>
    <row r="642" spans="2:6" x14ac:dyDescent="0.55000000000000004">
      <c r="B642" s="1">
        <v>630</v>
      </c>
      <c r="C642" s="6">
        <f t="shared" si="18"/>
        <v>-16.408114635979327</v>
      </c>
      <c r="D642" s="6">
        <f t="shared" si="19"/>
        <v>18.994045753671358</v>
      </c>
      <c r="E642" s="18"/>
      <c r="F642" s="18"/>
    </row>
    <row r="643" spans="2:6" x14ac:dyDescent="0.55000000000000004">
      <c r="B643" s="1">
        <v>631</v>
      </c>
      <c r="C643" s="6">
        <f t="shared" si="18"/>
        <v>24.948961623485893</v>
      </c>
      <c r="D643" s="6">
        <f t="shared" si="19"/>
        <v>-2.923920982145078</v>
      </c>
      <c r="E643" s="18"/>
      <c r="F643" s="18"/>
    </row>
    <row r="644" spans="2:6" x14ac:dyDescent="0.55000000000000004">
      <c r="B644" s="1">
        <v>632</v>
      </c>
      <c r="C644" s="6">
        <f t="shared" si="18"/>
        <v>-20.387513270800511</v>
      </c>
      <c r="D644" s="6">
        <f t="shared" si="19"/>
        <v>-14.708817173142549</v>
      </c>
      <c r="E644" s="18"/>
      <c r="F644" s="18"/>
    </row>
    <row r="645" spans="2:6" x14ac:dyDescent="0.55000000000000004">
      <c r="B645" s="1">
        <v>633</v>
      </c>
      <c r="C645" s="6">
        <f t="shared" si="18"/>
        <v>5.100998671916642</v>
      </c>
      <c r="D645" s="6">
        <f t="shared" si="19"/>
        <v>24.636960294425624</v>
      </c>
      <c r="E645" s="18"/>
      <c r="F645" s="18"/>
    </row>
    <row r="646" spans="2:6" x14ac:dyDescent="0.55000000000000004">
      <c r="B646" s="1">
        <v>634</v>
      </c>
      <c r="C646" s="6">
        <f t="shared" si="18"/>
        <v>12.8913078253818</v>
      </c>
      <c r="D646" s="6">
        <f t="shared" si="19"/>
        <v>-21.629012519096889</v>
      </c>
      <c r="E646" s="18"/>
      <c r="F646" s="18"/>
    </row>
    <row r="647" spans="2:6" x14ac:dyDescent="0.55000000000000004">
      <c r="B647" s="1">
        <v>635</v>
      </c>
      <c r="C647" s="6">
        <f t="shared" si="18"/>
        <v>-24.134991781274827</v>
      </c>
      <c r="D647" s="6">
        <f t="shared" si="19"/>
        <v>7.2458382343105381</v>
      </c>
      <c r="E647" s="18"/>
      <c r="F647" s="18"/>
    </row>
    <row r="648" spans="2:6" x14ac:dyDescent="0.55000000000000004">
      <c r="B648" s="1">
        <v>636</v>
      </c>
      <c r="C648" s="6">
        <f t="shared" si="18"/>
        <v>22.708528164801365</v>
      </c>
      <c r="D648" s="6">
        <f t="shared" si="19"/>
        <v>10.969172648309591</v>
      </c>
      <c r="E648" s="18"/>
      <c r="F648" s="18"/>
    </row>
    <row r="649" spans="2:6" x14ac:dyDescent="0.55000000000000004">
      <c r="B649" s="1">
        <v>637</v>
      </c>
      <c r="C649" s="6">
        <f t="shared" si="18"/>
        <v>-9.3418646866076429</v>
      </c>
      <c r="D649" s="6">
        <f t="shared" si="19"/>
        <v>-23.446312379073881</v>
      </c>
      <c r="E649" s="18"/>
      <c r="F649" s="18"/>
    </row>
    <row r="650" spans="2:6" x14ac:dyDescent="0.55000000000000004">
      <c r="B650" s="1">
        <v>638</v>
      </c>
      <c r="C650" s="6">
        <f t="shared" si="18"/>
        <v>-8.9568449430115589</v>
      </c>
      <c r="D650" s="6">
        <f t="shared" si="19"/>
        <v>23.617259126893796</v>
      </c>
      <c r="E650" s="18"/>
      <c r="F650" s="18"/>
    </row>
    <row r="651" spans="2:6" x14ac:dyDescent="0.55000000000000004">
      <c r="B651" s="1">
        <v>639</v>
      </c>
      <c r="C651" s="6">
        <f t="shared" si="18"/>
        <v>22.575624420106418</v>
      </c>
      <c r="D651" s="6">
        <f t="shared" si="19"/>
        <v>-11.372826475520265</v>
      </c>
      <c r="E651" s="18"/>
      <c r="F651" s="18"/>
    </row>
    <row r="652" spans="2:6" x14ac:dyDescent="0.55000000000000004">
      <c r="B652" s="1">
        <v>640</v>
      </c>
      <c r="C652" s="6">
        <f t="shared" si="18"/>
        <v>-24.347690121570491</v>
      </c>
      <c r="D652" s="6">
        <f t="shared" si="19"/>
        <v>-6.8694967606061805</v>
      </c>
      <c r="E652" s="18"/>
      <c r="F652" s="18"/>
    </row>
    <row r="653" spans="2:6" x14ac:dyDescent="0.55000000000000004">
      <c r="B653" s="1">
        <v>641</v>
      </c>
      <c r="C653" s="6">
        <f t="shared" ref="C653:C716" si="20">B653^$C$9*COS(2*PI()*B653/$C$8)</f>
        <v>13.322921612095429</v>
      </c>
      <c r="D653" s="6">
        <f t="shared" ref="D653:D716" si="21">B653^$C$9*SIN(2*PI()*B653/$C$8)</f>
        <v>21.529044561195942</v>
      </c>
      <c r="E653" s="18"/>
      <c r="F653" s="18"/>
    </row>
    <row r="654" spans="2:6" x14ac:dyDescent="0.55000000000000004">
      <c r="B654" s="1">
        <v>642</v>
      </c>
      <c r="C654" s="6">
        <f t="shared" si="20"/>
        <v>4.7229243780002426</v>
      </c>
      <c r="D654" s="6">
        <f t="shared" si="21"/>
        <v>-24.893653514895941</v>
      </c>
      <c r="E654" s="18"/>
      <c r="F654" s="18"/>
    </row>
    <row r="655" spans="2:6" x14ac:dyDescent="0.55000000000000004">
      <c r="B655" s="1">
        <v>643</v>
      </c>
      <c r="C655" s="6">
        <f t="shared" si="20"/>
        <v>-20.314061070945758</v>
      </c>
      <c r="D655" s="6">
        <f t="shared" si="21"/>
        <v>15.176920728721157</v>
      </c>
      <c r="E655" s="18"/>
      <c r="F655" s="18"/>
    </row>
    <row r="656" spans="2:6" x14ac:dyDescent="0.55000000000000004">
      <c r="B656" s="1">
        <v>644</v>
      </c>
      <c r="C656" s="6">
        <f t="shared" si="20"/>
        <v>25.250380976860498</v>
      </c>
      <c r="D656" s="6">
        <f t="shared" si="21"/>
        <v>2.5334286102832064</v>
      </c>
      <c r="E656" s="18"/>
      <c r="F656" s="18"/>
    </row>
    <row r="657" spans="2:6" x14ac:dyDescent="0.55000000000000004">
      <c r="B657" s="1">
        <v>645</v>
      </c>
      <c r="C657" s="6">
        <f t="shared" si="20"/>
        <v>-16.920286099160919</v>
      </c>
      <c r="D657" s="6">
        <f t="shared" si="21"/>
        <v>-18.93948041321466</v>
      </c>
      <c r="E657" s="18"/>
      <c r="F657" s="18"/>
    </row>
    <row r="658" spans="2:6" x14ac:dyDescent="0.55000000000000004">
      <c r="B658" s="1">
        <v>646</v>
      </c>
      <c r="C658" s="6">
        <f t="shared" si="20"/>
        <v>-0.31769086798766688</v>
      </c>
      <c r="D658" s="6">
        <f t="shared" si="21"/>
        <v>25.414544507277665</v>
      </c>
      <c r="E658" s="18"/>
      <c r="F658" s="18"/>
    </row>
    <row r="659" spans="2:6" x14ac:dyDescent="0.55000000000000004">
      <c r="B659" s="1">
        <v>647</v>
      </c>
      <c r="C659" s="6">
        <f t="shared" si="20"/>
        <v>17.415363506735329</v>
      </c>
      <c r="D659" s="6">
        <f t="shared" si="21"/>
        <v>-18.539285690885482</v>
      </c>
      <c r="E659" s="18"/>
      <c r="F659" s="18"/>
    </row>
    <row r="660" spans="2:6" x14ac:dyDescent="0.55000000000000004">
      <c r="B660" s="1">
        <v>648</v>
      </c>
      <c r="C660" s="6">
        <f t="shared" si="20"/>
        <v>-25.384286484903065</v>
      </c>
      <c r="D660" s="6">
        <f t="shared" si="21"/>
        <v>1.9073540972686731</v>
      </c>
      <c r="E660" s="18"/>
      <c r="F660" s="18"/>
    </row>
    <row r="661" spans="2:6" x14ac:dyDescent="0.55000000000000004">
      <c r="B661" s="1">
        <v>649</v>
      </c>
      <c r="C661" s="6">
        <f t="shared" si="20"/>
        <v>20.021101354760145</v>
      </c>
      <c r="D661" s="6">
        <f t="shared" si="21"/>
        <v>15.752952121504764</v>
      </c>
      <c r="E661" s="18"/>
      <c r="F661" s="18"/>
    </row>
    <row r="662" spans="2:6" x14ac:dyDescent="0.55000000000000004">
      <c r="B662" s="1">
        <v>650</v>
      </c>
      <c r="C662" s="6">
        <f t="shared" si="20"/>
        <v>-4.1246477868836591</v>
      </c>
      <c r="D662" s="6">
        <f t="shared" si="21"/>
        <v>-25.15923847484569</v>
      </c>
      <c r="E662" s="18"/>
      <c r="F662" s="18"/>
    </row>
    <row r="663" spans="2:6" x14ac:dyDescent="0.55000000000000004">
      <c r="B663" s="1">
        <v>651</v>
      </c>
      <c r="C663" s="6">
        <f t="shared" si="20"/>
        <v>-13.964585950456375</v>
      </c>
      <c r="D663" s="6">
        <f t="shared" si="21"/>
        <v>21.353930299415993</v>
      </c>
      <c r="E663" s="18"/>
      <c r="F663" s="18"/>
    </row>
    <row r="664" spans="2:6" x14ac:dyDescent="0.55000000000000004">
      <c r="B664" s="1">
        <v>652</v>
      </c>
      <c r="C664" s="6">
        <f t="shared" si="20"/>
        <v>24.74052861541583</v>
      </c>
      <c r="D664" s="6">
        <f t="shared" si="21"/>
        <v>-6.3171388958760799</v>
      </c>
      <c r="E664" s="18"/>
      <c r="F664" s="18"/>
    </row>
    <row r="665" spans="2:6" x14ac:dyDescent="0.55000000000000004">
      <c r="B665" s="1">
        <v>653</v>
      </c>
      <c r="C665" s="6">
        <f t="shared" si="20"/>
        <v>-22.527079047453491</v>
      </c>
      <c r="D665" s="6">
        <f t="shared" si="21"/>
        <v>-12.063610968104948</v>
      </c>
      <c r="E665" s="18"/>
      <c r="F665" s="18"/>
    </row>
    <row r="666" spans="2:6" x14ac:dyDescent="0.55000000000000004">
      <c r="B666" s="1">
        <v>654</v>
      </c>
      <c r="C666" s="6">
        <f t="shared" si="20"/>
        <v>8.4679145940562819</v>
      </c>
      <c r="D666" s="6">
        <f t="shared" si="21"/>
        <v>24.130777493229857</v>
      </c>
      <c r="E666" s="18"/>
      <c r="F666" s="18"/>
    </row>
    <row r="667" spans="2:6" x14ac:dyDescent="0.55000000000000004">
      <c r="B667" s="1">
        <v>655</v>
      </c>
      <c r="C667" s="6">
        <f t="shared" si="20"/>
        <v>10.06427975740929</v>
      </c>
      <c r="D667" s="6">
        <f t="shared" si="21"/>
        <v>-23.5310491258805</v>
      </c>
      <c r="E667" s="18"/>
      <c r="F667" s="18"/>
    </row>
    <row r="668" spans="2:6" x14ac:dyDescent="0.55000000000000004">
      <c r="B668" s="1">
        <v>656</v>
      </c>
      <c r="C668" s="6">
        <f t="shared" si="20"/>
        <v>-23.334082504066945</v>
      </c>
      <c r="D668" s="6">
        <f t="shared" si="21"/>
        <v>10.560331135594032</v>
      </c>
      <c r="E668" s="18"/>
      <c r="F668" s="18"/>
    </row>
    <row r="669" spans="2:6" x14ac:dyDescent="0.55000000000000004">
      <c r="B669" s="1">
        <v>657</v>
      </c>
      <c r="C669" s="6">
        <f t="shared" si="20"/>
        <v>24.357613805123904</v>
      </c>
      <c r="D669" s="6">
        <f t="shared" si="21"/>
        <v>7.9816445498679895</v>
      </c>
      <c r="E669" s="18"/>
      <c r="F669" s="18"/>
    </row>
    <row r="670" spans="2:6" x14ac:dyDescent="0.55000000000000004">
      <c r="B670" s="1">
        <v>658</v>
      </c>
      <c r="C670" s="6">
        <f t="shared" si="20"/>
        <v>-12.578142787427813</v>
      </c>
      <c r="D670" s="6">
        <f t="shared" si="21"/>
        <v>-22.355990785896243</v>
      </c>
      <c r="E670" s="18"/>
      <c r="F670" s="18"/>
    </row>
    <row r="671" spans="2:6" x14ac:dyDescent="0.55000000000000004">
      <c r="B671" s="1">
        <v>659</v>
      </c>
      <c r="C671" s="6">
        <f t="shared" si="20"/>
        <v>-5.831443782205648</v>
      </c>
      <c r="D671" s="6">
        <f t="shared" si="21"/>
        <v>24.99988526803623</v>
      </c>
      <c r="E671" s="18"/>
      <c r="F671" s="18"/>
    </row>
    <row r="672" spans="2:6" x14ac:dyDescent="0.55000000000000004">
      <c r="B672" s="1">
        <v>660</v>
      </c>
      <c r="C672" s="6">
        <f t="shared" si="20"/>
        <v>21.203460898887283</v>
      </c>
      <c r="D672" s="6">
        <f t="shared" si="21"/>
        <v>-14.505628077038175</v>
      </c>
      <c r="E672" s="18"/>
      <c r="F672" s="18"/>
    </row>
    <row r="673" spans="2:6" x14ac:dyDescent="0.55000000000000004">
      <c r="B673" s="1">
        <v>661</v>
      </c>
      <c r="C673" s="6">
        <f t="shared" si="20"/>
        <v>-25.45237166219707</v>
      </c>
      <c r="D673" s="6">
        <f t="shared" si="21"/>
        <v>-3.6299830260467516</v>
      </c>
      <c r="E673" s="18"/>
      <c r="F673" s="18"/>
    </row>
    <row r="674" spans="2:6" x14ac:dyDescent="0.55000000000000004">
      <c r="B674" s="1">
        <v>662</v>
      </c>
      <c r="C674" s="6">
        <f t="shared" si="20"/>
        <v>16.327712377308465</v>
      </c>
      <c r="D674" s="6">
        <f t="shared" si="21"/>
        <v>19.884813514938678</v>
      </c>
      <c r="E674" s="18"/>
      <c r="F674" s="18"/>
    </row>
    <row r="675" spans="2:6" x14ac:dyDescent="0.55000000000000004">
      <c r="B675" s="1">
        <v>663</v>
      </c>
      <c r="C675" s="6">
        <f t="shared" si="20"/>
        <v>1.3940111919394054</v>
      </c>
      <c r="D675" s="6">
        <f t="shared" si="21"/>
        <v>-25.711023565714914</v>
      </c>
      <c r="E675" s="18"/>
      <c r="F675" s="18"/>
    </row>
    <row r="676" spans="2:6" x14ac:dyDescent="0.55000000000000004">
      <c r="B676" s="1">
        <v>664</v>
      </c>
      <c r="C676" s="6">
        <f t="shared" si="20"/>
        <v>-18.409671464429262</v>
      </c>
      <c r="D676" s="6">
        <f t="shared" si="21"/>
        <v>18.030085872556985</v>
      </c>
      <c r="E676" s="18"/>
      <c r="F676" s="18"/>
    </row>
    <row r="677" spans="2:6" x14ac:dyDescent="0.55000000000000004">
      <c r="B677" s="1">
        <v>665</v>
      </c>
      <c r="C677" s="6">
        <f t="shared" si="20"/>
        <v>25.773269476750027</v>
      </c>
      <c r="D677" s="6">
        <f t="shared" si="21"/>
        <v>-0.85940705071889867</v>
      </c>
      <c r="E677" s="18"/>
      <c r="F677" s="18"/>
    </row>
    <row r="678" spans="2:6" x14ac:dyDescent="0.55000000000000004">
      <c r="B678" s="1">
        <v>666</v>
      </c>
      <c r="C678" s="6">
        <f t="shared" si="20"/>
        <v>-19.599315981781295</v>
      </c>
      <c r="D678" s="6">
        <f t="shared" si="21"/>
        <v>-16.78888957156763</v>
      </c>
      <c r="E678" s="18"/>
      <c r="F678" s="18"/>
    </row>
    <row r="679" spans="2:6" x14ac:dyDescent="0.55000000000000004">
      <c r="B679" s="1">
        <v>667</v>
      </c>
      <c r="C679" s="6">
        <f t="shared" si="20"/>
        <v>3.1130216652981972</v>
      </c>
      <c r="D679" s="6">
        <f t="shared" si="21"/>
        <v>25.638040020863219</v>
      </c>
      <c r="E679" s="18"/>
      <c r="F679" s="18"/>
    </row>
    <row r="680" spans="2:6" x14ac:dyDescent="0.55000000000000004">
      <c r="B680" s="1">
        <v>668</v>
      </c>
      <c r="C680" s="6">
        <f t="shared" si="20"/>
        <v>15.034474789537903</v>
      </c>
      <c r="D680" s="6">
        <f t="shared" si="21"/>
        <v>-21.022953355861997</v>
      </c>
      <c r="E680" s="18"/>
      <c r="F680" s="18"/>
    </row>
    <row r="681" spans="2:6" x14ac:dyDescent="0.55000000000000004">
      <c r="B681" s="1">
        <v>669</v>
      </c>
      <c r="C681" s="6">
        <f t="shared" si="20"/>
        <v>-25.305780656391491</v>
      </c>
      <c r="D681" s="6">
        <f t="shared" si="21"/>
        <v>5.3495294531951325</v>
      </c>
      <c r="E681" s="18"/>
      <c r="F681" s="18"/>
    </row>
    <row r="682" spans="2:6" x14ac:dyDescent="0.55000000000000004">
      <c r="B682" s="1">
        <v>670</v>
      </c>
      <c r="C682" s="6">
        <f t="shared" si="20"/>
        <v>22.289630612461778</v>
      </c>
      <c r="D682" s="6">
        <f t="shared" si="21"/>
        <v>13.159497222918768</v>
      </c>
      <c r="E682" s="18"/>
      <c r="F682" s="18"/>
    </row>
    <row r="683" spans="2:6" x14ac:dyDescent="0.55000000000000004">
      <c r="B683" s="1">
        <v>671</v>
      </c>
      <c r="C683" s="6">
        <f t="shared" si="20"/>
        <v>-7.5517070587843564</v>
      </c>
      <c r="D683" s="6">
        <f t="shared" si="21"/>
        <v>-24.778452746253276</v>
      </c>
      <c r="E683" s="18"/>
      <c r="F683" s="18"/>
    </row>
    <row r="684" spans="2:6" x14ac:dyDescent="0.55000000000000004">
      <c r="B684" s="1">
        <v>672</v>
      </c>
      <c r="C684" s="6">
        <f t="shared" si="20"/>
        <v>-11.177992697427539</v>
      </c>
      <c r="D684" s="6">
        <f t="shared" si="21"/>
        <v>23.389153025628282</v>
      </c>
      <c r="E684" s="18"/>
      <c r="F684" s="18"/>
    </row>
    <row r="685" spans="2:6" x14ac:dyDescent="0.55000000000000004">
      <c r="B685" s="1">
        <v>673</v>
      </c>
      <c r="C685" s="6">
        <f t="shared" si="20"/>
        <v>24.059522954096316</v>
      </c>
      <c r="D685" s="6">
        <f t="shared" si="21"/>
        <v>-9.7025437500334135</v>
      </c>
      <c r="E685" s="18"/>
      <c r="F685" s="18"/>
    </row>
    <row r="686" spans="2:6" x14ac:dyDescent="0.55000000000000004">
      <c r="B686" s="1">
        <v>674</v>
      </c>
      <c r="C686" s="6">
        <f t="shared" si="20"/>
        <v>-24.312580447631785</v>
      </c>
      <c r="D686" s="6">
        <f t="shared" si="21"/>
        <v>-9.1048576033583668</v>
      </c>
      <c r="E686" s="18"/>
      <c r="F686" s="18"/>
    </row>
    <row r="687" spans="2:6" x14ac:dyDescent="0.55000000000000004">
      <c r="B687" s="1">
        <v>675</v>
      </c>
      <c r="C687" s="6">
        <f t="shared" si="20"/>
        <v>11.785372950680289</v>
      </c>
      <c r="D687" s="6">
        <f t="shared" si="21"/>
        <v>23.153941012565731</v>
      </c>
      <c r="E687" s="18"/>
      <c r="F687" s="18"/>
    </row>
    <row r="688" spans="2:6" x14ac:dyDescent="0.55000000000000004">
      <c r="B688" s="1">
        <v>676</v>
      </c>
      <c r="C688" s="6">
        <f t="shared" si="20"/>
        <v>6.9557368017363803</v>
      </c>
      <c r="D688" s="6">
        <f t="shared" si="21"/>
        <v>-25.05229980550628</v>
      </c>
      <c r="E688" s="18"/>
      <c r="F688" s="18"/>
    </row>
    <row r="689" spans="2:6" x14ac:dyDescent="0.55000000000000004">
      <c r="B689" s="1">
        <v>677</v>
      </c>
      <c r="C689" s="6">
        <f t="shared" si="20"/>
        <v>-22.068106001549779</v>
      </c>
      <c r="D689" s="6">
        <f t="shared" si="21"/>
        <v>13.784001505526716</v>
      </c>
      <c r="E689" s="18"/>
      <c r="F689" s="18"/>
    </row>
    <row r="690" spans="2:6" x14ac:dyDescent="0.55000000000000004">
      <c r="B690" s="1">
        <v>678</v>
      </c>
      <c r="C690" s="6">
        <f t="shared" si="20"/>
        <v>25.602087586180012</v>
      </c>
      <c r="D690" s="6">
        <f t="shared" si="21"/>
        <v>4.746905437184032</v>
      </c>
      <c r="E690" s="18"/>
      <c r="F690" s="18"/>
    </row>
    <row r="691" spans="2:6" x14ac:dyDescent="0.55000000000000004">
      <c r="B691" s="1">
        <v>679</v>
      </c>
      <c r="C691" s="6">
        <f t="shared" si="20"/>
        <v>-15.682835675638843</v>
      </c>
      <c r="D691" s="6">
        <f t="shared" si="21"/>
        <v>-20.809821363262817</v>
      </c>
      <c r="E691" s="18"/>
      <c r="F691" s="18"/>
    </row>
    <row r="692" spans="2:6" x14ac:dyDescent="0.55000000000000004">
      <c r="B692" s="1">
        <v>680</v>
      </c>
      <c r="C692" s="6">
        <f t="shared" si="20"/>
        <v>-2.4951455516886409</v>
      </c>
      <c r="D692" s="6">
        <f t="shared" si="21"/>
        <v>25.95716179931636</v>
      </c>
      <c r="E692" s="18"/>
      <c r="F692" s="18"/>
    </row>
    <row r="693" spans="2:6" x14ac:dyDescent="0.55000000000000004">
      <c r="B693" s="1">
        <v>681</v>
      </c>
      <c r="C693" s="6">
        <f t="shared" si="20"/>
        <v>19.388238968498975</v>
      </c>
      <c r="D693" s="6">
        <f t="shared" si="21"/>
        <v>-17.467002882589153</v>
      </c>
      <c r="E693" s="18"/>
      <c r="F693" s="18"/>
    </row>
    <row r="694" spans="2:6" x14ac:dyDescent="0.55000000000000004">
      <c r="B694" s="1">
        <v>682</v>
      </c>
      <c r="C694" s="6">
        <f t="shared" si="20"/>
        <v>-26.114222987035241</v>
      </c>
      <c r="D694" s="6">
        <f t="shared" si="21"/>
        <v>-0.21761843534097508</v>
      </c>
      <c r="E694" s="18"/>
      <c r="F694" s="18"/>
    </row>
    <row r="695" spans="2:6" x14ac:dyDescent="0.55000000000000004">
      <c r="B695" s="1">
        <v>683</v>
      </c>
      <c r="C695" s="6">
        <f t="shared" si="20"/>
        <v>19.122468250369721</v>
      </c>
      <c r="D695" s="6">
        <f t="shared" si="21"/>
        <v>17.81379263418102</v>
      </c>
      <c r="E695" s="18"/>
      <c r="F695" s="18"/>
    </row>
    <row r="696" spans="2:6" x14ac:dyDescent="0.55000000000000004">
      <c r="B696" s="1">
        <v>684</v>
      </c>
      <c r="C696" s="6">
        <f t="shared" si="20"/>
        <v>-2.0682663133560375</v>
      </c>
      <c r="D696" s="6">
        <f t="shared" si="21"/>
        <v>-26.071483932776758</v>
      </c>
      <c r="E696" s="18"/>
      <c r="F696" s="18"/>
    </row>
    <row r="697" spans="2:6" x14ac:dyDescent="0.55000000000000004">
      <c r="B697" s="1">
        <v>685</v>
      </c>
      <c r="C697" s="6">
        <f t="shared" si="20"/>
        <v>-16.098121574274906</v>
      </c>
      <c r="D697" s="6">
        <f t="shared" si="21"/>
        <v>20.636145031954605</v>
      </c>
      <c r="E697" s="18"/>
      <c r="F697" s="18"/>
    </row>
    <row r="698" spans="2:6" x14ac:dyDescent="0.55000000000000004">
      <c r="B698" s="1">
        <v>686</v>
      </c>
      <c r="C698" s="6">
        <f t="shared" si="20"/>
        <v>25.8286878080036</v>
      </c>
      <c r="D698" s="6">
        <f t="shared" si="21"/>
        <v>-4.3449840180012274</v>
      </c>
      <c r="E698" s="18"/>
      <c r="F698" s="18"/>
    </row>
    <row r="699" spans="2:6" x14ac:dyDescent="0.55000000000000004">
      <c r="B699" s="1">
        <v>687</v>
      </c>
      <c r="C699" s="6">
        <f t="shared" si="20"/>
        <v>-21.995998051177818</v>
      </c>
      <c r="D699" s="6">
        <f t="shared" si="21"/>
        <v>-14.253984345879633</v>
      </c>
      <c r="E699" s="18"/>
      <c r="F699" s="18"/>
    </row>
    <row r="700" spans="2:6" x14ac:dyDescent="0.55000000000000004">
      <c r="B700" s="1">
        <v>688</v>
      </c>
      <c r="C700" s="6">
        <f t="shared" si="20"/>
        <v>6.5950294244591596</v>
      </c>
      <c r="D700" s="6">
        <f t="shared" si="21"/>
        <v>25.387114583790687</v>
      </c>
      <c r="E700" s="18"/>
      <c r="F700" s="18"/>
    </row>
    <row r="701" spans="2:6" x14ac:dyDescent="0.55000000000000004">
      <c r="B701" s="1">
        <v>689</v>
      </c>
      <c r="C701" s="6">
        <f t="shared" si="20"/>
        <v>12.295163926599463</v>
      </c>
      <c r="D701" s="6">
        <f t="shared" si="21"/>
        <v>-23.191139342819</v>
      </c>
      <c r="E701" s="18"/>
      <c r="F701" s="18"/>
    </row>
    <row r="702" spans="2:6" x14ac:dyDescent="0.55000000000000004">
      <c r="B702" s="1">
        <v>690</v>
      </c>
      <c r="C702" s="6">
        <f t="shared" si="20"/>
        <v>-24.749575624536227</v>
      </c>
      <c r="D702" s="6">
        <f t="shared" si="21"/>
        <v>8.8010514374909992</v>
      </c>
      <c r="E702" s="18"/>
      <c r="F702" s="18"/>
    </row>
    <row r="703" spans="2:6" x14ac:dyDescent="0.55000000000000004">
      <c r="B703" s="1">
        <v>691</v>
      </c>
      <c r="C703" s="6">
        <f t="shared" si="20"/>
        <v>24.2119152311204</v>
      </c>
      <c r="D703" s="6">
        <f t="shared" si="21"/>
        <v>10.236364630133099</v>
      </c>
      <c r="E703" s="18"/>
      <c r="F703" s="18"/>
    </row>
    <row r="704" spans="2:6" x14ac:dyDescent="0.55000000000000004">
      <c r="B704" s="1">
        <v>692</v>
      </c>
      <c r="C704" s="6">
        <f t="shared" si="20"/>
        <v>-10.945987055858966</v>
      </c>
      <c r="D704" s="6">
        <f t="shared" si="21"/>
        <v>-23.920396471901714</v>
      </c>
      <c r="E704" s="18"/>
      <c r="F704" s="18"/>
    </row>
    <row r="705" spans="2:6" x14ac:dyDescent="0.55000000000000004">
      <c r="B705" s="1">
        <v>693</v>
      </c>
      <c r="C705" s="6">
        <f t="shared" si="20"/>
        <v>-8.0931016313895299</v>
      </c>
      <c r="D705" s="6">
        <f t="shared" si="21"/>
        <v>25.049984151372236</v>
      </c>
      <c r="E705" s="18"/>
      <c r="F705" s="18"/>
    </row>
    <row r="706" spans="2:6" x14ac:dyDescent="0.55000000000000004">
      <c r="B706" s="1">
        <v>694</v>
      </c>
      <c r="C706" s="6">
        <f t="shared" si="20"/>
        <v>22.905387918385308</v>
      </c>
      <c r="D706" s="6">
        <f t="shared" si="21"/>
        <v>-13.013193470792958</v>
      </c>
      <c r="E706" s="18"/>
      <c r="F706" s="18"/>
    </row>
    <row r="707" spans="2:6" x14ac:dyDescent="0.55000000000000004">
      <c r="B707" s="1">
        <v>695</v>
      </c>
      <c r="C707" s="6">
        <f t="shared" si="20"/>
        <v>-25.698384588310343</v>
      </c>
      <c r="D707" s="6">
        <f t="shared" si="21"/>
        <v>-5.8815839321813321</v>
      </c>
      <c r="E707" s="18"/>
      <c r="F707" s="18"/>
    </row>
    <row r="708" spans="2:6" x14ac:dyDescent="0.55000000000000004">
      <c r="B708" s="1">
        <v>696</v>
      </c>
      <c r="C708" s="6">
        <f t="shared" si="20"/>
        <v>14.986577304703731</v>
      </c>
      <c r="D708" s="6">
        <f t="shared" si="21"/>
        <v>21.711805560342953</v>
      </c>
      <c r="E708" s="18"/>
      <c r="F708" s="18"/>
    </row>
    <row r="709" spans="2:6" x14ac:dyDescent="0.55000000000000004">
      <c r="B709" s="1">
        <v>697</v>
      </c>
      <c r="C709" s="6">
        <f t="shared" si="20"/>
        <v>3.6185916510567444</v>
      </c>
      <c r="D709" s="6">
        <f t="shared" si="21"/>
        <v>-26.151592579858352</v>
      </c>
      <c r="E709" s="18"/>
      <c r="F709" s="18"/>
    </row>
    <row r="710" spans="2:6" x14ac:dyDescent="0.55000000000000004">
      <c r="B710" s="1">
        <v>698</v>
      </c>
      <c r="C710" s="6">
        <f t="shared" si="20"/>
        <v>-20.348298110068949</v>
      </c>
      <c r="D710" s="6">
        <f t="shared" si="21"/>
        <v>16.850719985323011</v>
      </c>
      <c r="E710" s="18"/>
      <c r="F710" s="18"/>
    </row>
    <row r="711" spans="2:6" x14ac:dyDescent="0.55000000000000004">
      <c r="B711" s="1">
        <v>699</v>
      </c>
      <c r="C711" s="6">
        <f t="shared" si="20"/>
        <v>26.405568313590845</v>
      </c>
      <c r="D711" s="6">
        <f t="shared" si="21"/>
        <v>1.3213485672930076</v>
      </c>
      <c r="E711" s="18"/>
      <c r="F711" s="18"/>
    </row>
    <row r="712" spans="2:6" x14ac:dyDescent="0.55000000000000004">
      <c r="B712" s="1">
        <v>700</v>
      </c>
      <c r="C712" s="6">
        <f t="shared" si="20"/>
        <v>-18.590998278543594</v>
      </c>
      <c r="D712" s="6">
        <f t="shared" si="21"/>
        <v>-18.824844833548806</v>
      </c>
      <c r="E712" s="18"/>
      <c r="F712" s="18"/>
    </row>
    <row r="713" spans="2:6" x14ac:dyDescent="0.55000000000000004">
      <c r="B713" s="1">
        <v>701</v>
      </c>
      <c r="C713" s="6">
        <f t="shared" si="20"/>
        <v>0.9926091117178758</v>
      </c>
      <c r="D713" s="6">
        <f t="shared" si="21"/>
        <v>26.457791426181714</v>
      </c>
      <c r="E713" s="18"/>
      <c r="F713" s="18"/>
    </row>
    <row r="714" spans="2:6" x14ac:dyDescent="0.55000000000000004">
      <c r="B714" s="1">
        <v>702</v>
      </c>
      <c r="C714" s="6">
        <f t="shared" si="20"/>
        <v>17.152682565978534</v>
      </c>
      <c r="D714" s="6">
        <f t="shared" si="21"/>
        <v>-20.193699036847509</v>
      </c>
      <c r="E714" s="18"/>
      <c r="F714" s="18"/>
    </row>
    <row r="715" spans="2:6" x14ac:dyDescent="0.55000000000000004">
      <c r="B715" s="1">
        <v>703</v>
      </c>
      <c r="C715" s="6">
        <f t="shared" si="20"/>
        <v>-26.307284702197617</v>
      </c>
      <c r="D715" s="6">
        <f t="shared" si="21"/>
        <v>3.3055667588961462</v>
      </c>
      <c r="E715" s="18"/>
      <c r="F715" s="18"/>
    </row>
    <row r="716" spans="2:6" x14ac:dyDescent="0.55000000000000004">
      <c r="B716" s="1">
        <v>704</v>
      </c>
      <c r="C716" s="6">
        <f t="shared" si="20"/>
        <v>21.646127263088221</v>
      </c>
      <c r="D716" s="6">
        <f t="shared" si="21"/>
        <v>15.344222838260299</v>
      </c>
      <c r="E716" s="18"/>
      <c r="F716" s="18"/>
    </row>
    <row r="717" spans="2:6" x14ac:dyDescent="0.55000000000000004">
      <c r="B717" s="1">
        <v>705</v>
      </c>
      <c r="C717" s="6">
        <f t="shared" ref="C717:C780" si="22">B717^$C$9*COS(2*PI()*B717/$C$8)</f>
        <v>-5.5997670862298561</v>
      </c>
      <c r="D717" s="6">
        <f t="shared" ref="D717:D780" si="23">B717^$C$9*SIN(2*PI()*B717/$C$8)</f>
        <v>-25.954625957234999</v>
      </c>
      <c r="E717" s="18"/>
      <c r="F717" s="18"/>
    </row>
    <row r="718" spans="2:6" x14ac:dyDescent="0.55000000000000004">
      <c r="B718" s="1">
        <v>706</v>
      </c>
      <c r="C718" s="6">
        <f t="shared" si="22"/>
        <v>-13.412959725978469</v>
      </c>
      <c r="D718" s="6">
        <f t="shared" si="23"/>
        <v>22.936706637817025</v>
      </c>
      <c r="E718" s="18"/>
      <c r="F718" s="18"/>
    </row>
    <row r="719" spans="2:6" x14ac:dyDescent="0.55000000000000004">
      <c r="B719" s="1">
        <v>707</v>
      </c>
      <c r="C719" s="6">
        <f t="shared" si="22"/>
        <v>25.401947980960333</v>
      </c>
      <c r="D719" s="6">
        <f t="shared" si="23"/>
        <v>-7.8575466128165754</v>
      </c>
      <c r="E719" s="18"/>
      <c r="F719" s="18"/>
    </row>
    <row r="720" spans="2:6" x14ac:dyDescent="0.55000000000000004">
      <c r="B720" s="1">
        <v>708</v>
      </c>
      <c r="C720" s="6">
        <f t="shared" si="22"/>
        <v>-24.055071714738727</v>
      </c>
      <c r="D720" s="6">
        <f t="shared" si="23"/>
        <v>-11.373369105009157</v>
      </c>
      <c r="E720" s="18"/>
      <c r="F720" s="18"/>
    </row>
    <row r="721" spans="2:6" x14ac:dyDescent="0.55000000000000004">
      <c r="B721" s="1">
        <v>709</v>
      </c>
      <c r="C721" s="6">
        <f t="shared" si="22"/>
        <v>10.061471791820917</v>
      </c>
      <c r="D721" s="6">
        <f t="shared" si="23"/>
        <v>24.652926507463413</v>
      </c>
      <c r="E721" s="18"/>
      <c r="F721" s="18"/>
    </row>
    <row r="722" spans="2:6" x14ac:dyDescent="0.55000000000000004">
      <c r="B722" s="1">
        <v>710</v>
      </c>
      <c r="C722" s="6">
        <f t="shared" si="22"/>
        <v>9.240800066793156</v>
      </c>
      <c r="D722" s="6">
        <f t="shared" si="23"/>
        <v>-24.992151050390913</v>
      </c>
      <c r="E722" s="18"/>
      <c r="F722" s="18"/>
    </row>
    <row r="723" spans="2:6" x14ac:dyDescent="0.55000000000000004">
      <c r="B723" s="1">
        <v>711</v>
      </c>
      <c r="C723" s="6">
        <f t="shared" si="22"/>
        <v>-23.712756272434742</v>
      </c>
      <c r="D723" s="6">
        <f t="shared" si="23"/>
        <v>12.194473746911209</v>
      </c>
      <c r="E723" s="18"/>
      <c r="F723" s="18"/>
    </row>
    <row r="724" spans="2:6" x14ac:dyDescent="0.55000000000000004">
      <c r="B724" s="1">
        <v>712</v>
      </c>
      <c r="C724" s="6">
        <f t="shared" si="22"/>
        <v>25.740240602592063</v>
      </c>
      <c r="D724" s="6">
        <f t="shared" si="23"/>
        <v>7.0313593081758379</v>
      </c>
      <c r="E724" s="18"/>
      <c r="F724" s="18"/>
    </row>
    <row r="725" spans="2:6" x14ac:dyDescent="0.55000000000000004">
      <c r="B725" s="1">
        <v>713</v>
      </c>
      <c r="C725" s="6">
        <f t="shared" si="22"/>
        <v>-14.239980575436057</v>
      </c>
      <c r="D725" s="6">
        <f t="shared" si="23"/>
        <v>-22.588115308967321</v>
      </c>
      <c r="E725" s="18"/>
      <c r="F725" s="18"/>
    </row>
    <row r="726" spans="2:6" x14ac:dyDescent="0.55000000000000004">
      <c r="B726" s="1">
        <v>714</v>
      </c>
      <c r="C726" s="6">
        <f t="shared" si="22"/>
        <v>-4.7617893674403131</v>
      </c>
      <c r="D726" s="6">
        <f t="shared" si="23"/>
        <v>26.293066805150982</v>
      </c>
      <c r="E726" s="18"/>
      <c r="F726" s="18"/>
    </row>
    <row r="727" spans="2:6" x14ac:dyDescent="0.55000000000000004">
      <c r="B727" s="1">
        <v>715</v>
      </c>
      <c r="C727" s="6">
        <f t="shared" si="22"/>
        <v>21.28711772466767</v>
      </c>
      <c r="D727" s="6">
        <f t="shared" si="23"/>
        <v>-16.182046192498021</v>
      </c>
      <c r="E727" s="18"/>
      <c r="F727" s="18"/>
    </row>
    <row r="728" spans="2:6" x14ac:dyDescent="0.55000000000000004">
      <c r="B728" s="1">
        <v>716</v>
      </c>
      <c r="C728" s="6">
        <f t="shared" si="22"/>
        <v>-26.645838804367418</v>
      </c>
      <c r="D728" s="6">
        <f t="shared" si="23"/>
        <v>-2.4493416282069718</v>
      </c>
      <c r="E728" s="18"/>
      <c r="F728" s="18"/>
    </row>
    <row r="729" spans="2:6" x14ac:dyDescent="0.55000000000000004">
      <c r="B729" s="1">
        <v>717</v>
      </c>
      <c r="C729" s="6">
        <f t="shared" si="22"/>
        <v>18.005474713329129</v>
      </c>
      <c r="D729" s="6">
        <f t="shared" si="23"/>
        <v>19.81925529245903</v>
      </c>
      <c r="E729" s="18"/>
      <c r="F729" s="18"/>
    </row>
    <row r="730" spans="2:6" x14ac:dyDescent="0.55000000000000004">
      <c r="B730" s="1">
        <v>718</v>
      </c>
      <c r="C730" s="6">
        <f t="shared" si="22"/>
        <v>0.11164505506880389</v>
      </c>
      <c r="D730" s="6">
        <f t="shared" si="23"/>
        <v>-26.79528942522694</v>
      </c>
      <c r="E730" s="18"/>
      <c r="F730" s="18"/>
    </row>
    <row r="731" spans="2:6" x14ac:dyDescent="0.55000000000000004">
      <c r="B731" s="1">
        <v>719</v>
      </c>
      <c r="C731" s="6">
        <f t="shared" si="22"/>
        <v>-18.19532827464872</v>
      </c>
      <c r="D731" s="6">
        <f t="shared" si="23"/>
        <v>19.695939403282313</v>
      </c>
      <c r="E731" s="18"/>
      <c r="F731" s="18"/>
    </row>
    <row r="732" spans="2:6" x14ac:dyDescent="0.55000000000000004">
      <c r="B732" s="1">
        <v>720</v>
      </c>
      <c r="C732" s="6">
        <f t="shared" si="22"/>
        <v>26.739704520731831</v>
      </c>
      <c r="D732" s="6">
        <f t="shared" si="23"/>
        <v>-2.2334283386654357</v>
      </c>
      <c r="E732" s="18"/>
      <c r="F732" s="18"/>
    </row>
    <row r="733" spans="2:6" x14ac:dyDescent="0.55000000000000004">
      <c r="B733" s="1">
        <v>721</v>
      </c>
      <c r="C733" s="6">
        <f t="shared" si="22"/>
        <v>-21.240095264333966</v>
      </c>
      <c r="D733" s="6">
        <f t="shared" si="23"/>
        <v>-16.42736598368764</v>
      </c>
      <c r="E733" s="18"/>
      <c r="F733" s="18"/>
    </row>
    <row r="734" spans="2:6" x14ac:dyDescent="0.55000000000000004">
      <c r="B734" s="1">
        <v>722</v>
      </c>
      <c r="C734" s="6">
        <f t="shared" si="22"/>
        <v>4.5679002640285438</v>
      </c>
      <c r="D734" s="6">
        <f t="shared" si="23"/>
        <v>26.478940446662289</v>
      </c>
      <c r="E734" s="18"/>
      <c r="F734" s="18"/>
    </row>
    <row r="735" spans="2:6" x14ac:dyDescent="0.55000000000000004">
      <c r="B735" s="1">
        <v>723</v>
      </c>
      <c r="C735" s="6">
        <f t="shared" si="22"/>
        <v>14.528537664107954</v>
      </c>
      <c r="D735" s="6">
        <f t="shared" si="23"/>
        <v>-22.625684372911163</v>
      </c>
      <c r="E735" s="18"/>
      <c r="F735" s="18"/>
    </row>
    <row r="736" spans="2:6" x14ac:dyDescent="0.55000000000000004">
      <c r="B736" s="1">
        <v>724</v>
      </c>
      <c r="C736" s="6">
        <f t="shared" si="22"/>
        <v>-26.01442949481725</v>
      </c>
      <c r="D736" s="6">
        <f t="shared" si="23"/>
        <v>6.8738241219267637</v>
      </c>
      <c r="E736" s="18"/>
      <c r="F736" s="18"/>
    </row>
    <row r="737" spans="2:6" x14ac:dyDescent="0.55000000000000004">
      <c r="B737" s="1">
        <v>725</v>
      </c>
      <c r="C737" s="6">
        <f t="shared" si="22"/>
        <v>23.841633138079445</v>
      </c>
      <c r="D737" s="6">
        <f t="shared" si="23"/>
        <v>12.513054355721151</v>
      </c>
      <c r="E737" s="18"/>
      <c r="F737" s="18"/>
    </row>
    <row r="738" spans="2:6" x14ac:dyDescent="0.55000000000000004">
      <c r="B738" s="1">
        <v>726</v>
      </c>
      <c r="C738" s="6">
        <f t="shared" si="22"/>
        <v>-9.133423101826601</v>
      </c>
      <c r="D738" s="6">
        <f t="shared" si="23"/>
        <v>-25.349173210245343</v>
      </c>
      <c r="E738" s="18"/>
      <c r="F738" s="18"/>
    </row>
    <row r="739" spans="2:6" x14ac:dyDescent="0.55000000000000004">
      <c r="B739" s="1">
        <v>727</v>
      </c>
      <c r="C739" s="6">
        <f t="shared" si="22"/>
        <v>-10.396062470086179</v>
      </c>
      <c r="D739" s="6">
        <f t="shared" si="23"/>
        <v>24.87814070862342</v>
      </c>
      <c r="E739" s="18"/>
      <c r="F739" s="18"/>
    </row>
    <row r="740" spans="2:6" x14ac:dyDescent="0.55000000000000004">
      <c r="B740" s="1">
        <v>728</v>
      </c>
      <c r="C740" s="6">
        <f t="shared" si="22"/>
        <v>24.487723611233129</v>
      </c>
      <c r="D740" s="6">
        <f t="shared" si="23"/>
        <v>-11.32922734964108</v>
      </c>
      <c r="E740" s="18"/>
      <c r="F740" s="18"/>
    </row>
    <row r="741" spans="2:6" x14ac:dyDescent="0.55000000000000004">
      <c r="B741" s="1">
        <v>729</v>
      </c>
      <c r="C741" s="6">
        <f t="shared" si="22"/>
        <v>-25.726757824226169</v>
      </c>
      <c r="D741" s="6">
        <f t="shared" si="23"/>
        <v>-8.193529877508082</v>
      </c>
      <c r="E741" s="18"/>
      <c r="F741" s="18"/>
    </row>
    <row r="742" spans="2:6" x14ac:dyDescent="0.55000000000000004">
      <c r="B742" s="1">
        <v>730</v>
      </c>
      <c r="C742" s="6">
        <f t="shared" si="22"/>
        <v>13.444209145719832</v>
      </c>
      <c r="D742" s="6">
        <f t="shared" si="23"/>
        <v>23.436152424110556</v>
      </c>
      <c r="E742" s="18"/>
      <c r="F742" s="18"/>
    </row>
    <row r="743" spans="2:6" x14ac:dyDescent="0.55000000000000004">
      <c r="B743" s="1">
        <v>731</v>
      </c>
      <c r="C743" s="6">
        <f t="shared" si="22"/>
        <v>5.9221253622760939</v>
      </c>
      <c r="D743" s="6">
        <f t="shared" si="23"/>
        <v>-26.380455477369726</v>
      </c>
      <c r="E743" s="18"/>
      <c r="F743" s="18"/>
    </row>
    <row r="744" spans="2:6" x14ac:dyDescent="0.55000000000000004">
      <c r="B744" s="1">
        <v>732</v>
      </c>
      <c r="C744" s="6">
        <f t="shared" si="22"/>
        <v>-22.202008537668746</v>
      </c>
      <c r="D744" s="6">
        <f t="shared" si="23"/>
        <v>15.461915046115216</v>
      </c>
      <c r="E744" s="18"/>
      <c r="F744" s="18"/>
    </row>
    <row r="745" spans="2:6" x14ac:dyDescent="0.55000000000000004">
      <c r="B745" s="1">
        <v>733</v>
      </c>
      <c r="C745" s="6">
        <f t="shared" si="22"/>
        <v>26.833682829739658</v>
      </c>
      <c r="D745" s="6">
        <f t="shared" si="23"/>
        <v>3.5990923568220823</v>
      </c>
      <c r="E745" s="18"/>
      <c r="F745" s="18"/>
    </row>
    <row r="746" spans="2:6" x14ac:dyDescent="0.55000000000000004">
      <c r="B746" s="1">
        <v>734</v>
      </c>
      <c r="C746" s="6">
        <f t="shared" si="22"/>
        <v>-17.366593960946506</v>
      </c>
      <c r="D746" s="6">
        <f t="shared" si="23"/>
        <v>-20.79426397340421</v>
      </c>
      <c r="E746" s="18"/>
      <c r="F746" s="18"/>
    </row>
    <row r="747" spans="2:6" x14ac:dyDescent="0.55000000000000004">
      <c r="B747" s="1">
        <v>735</v>
      </c>
      <c r="C747" s="6">
        <f t="shared" si="22"/>
        <v>-1.2421179123217274</v>
      </c>
      <c r="D747" s="6">
        <f t="shared" si="23"/>
        <v>27.082413908141373</v>
      </c>
      <c r="E747" s="18"/>
      <c r="F747" s="18"/>
    </row>
    <row r="748" spans="2:6" x14ac:dyDescent="0.55000000000000004">
      <c r="B748" s="1">
        <v>736</v>
      </c>
      <c r="C748" s="6">
        <f t="shared" si="22"/>
        <v>19.223248756985672</v>
      </c>
      <c r="D748" s="6">
        <f t="shared" si="23"/>
        <v>-19.143320172505312</v>
      </c>
      <c r="E748" s="18"/>
      <c r="F748" s="18"/>
    </row>
    <row r="749" spans="2:6" x14ac:dyDescent="0.55000000000000004">
      <c r="B749" s="1">
        <v>737</v>
      </c>
      <c r="C749" s="6">
        <f t="shared" si="22"/>
        <v>-27.124182690278371</v>
      </c>
      <c r="D749" s="6">
        <f t="shared" si="23"/>
        <v>1.1308020978063809</v>
      </c>
      <c r="E749" s="18"/>
      <c r="F749" s="18"/>
    </row>
    <row r="750" spans="2:6" x14ac:dyDescent="0.55000000000000004">
      <c r="B750" s="1">
        <v>738</v>
      </c>
      <c r="C750" s="6">
        <f t="shared" si="22"/>
        <v>20.778110331701829</v>
      </c>
      <c r="D750" s="6">
        <f t="shared" si="23"/>
        <v>17.500575163223228</v>
      </c>
      <c r="E750" s="18"/>
      <c r="F750" s="18"/>
    </row>
    <row r="751" spans="2:6" x14ac:dyDescent="0.55000000000000004">
      <c r="B751" s="1">
        <v>739</v>
      </c>
      <c r="C751" s="6">
        <f t="shared" si="22"/>
        <v>-3.5015005129528958</v>
      </c>
      <c r="D751" s="6">
        <f t="shared" si="23"/>
        <v>-26.958106279147106</v>
      </c>
      <c r="E751" s="18"/>
      <c r="F751" s="18"/>
    </row>
    <row r="752" spans="2:6" x14ac:dyDescent="0.55000000000000004">
      <c r="B752" s="1">
        <v>740</v>
      </c>
      <c r="C752" s="6">
        <f t="shared" si="22"/>
        <v>-15.639051889576244</v>
      </c>
      <c r="D752" s="6">
        <f t="shared" si="23"/>
        <v>22.25803351590481</v>
      </c>
      <c r="E752" s="18"/>
      <c r="F752" s="18"/>
    </row>
    <row r="753" spans="2:6" x14ac:dyDescent="0.55000000000000004">
      <c r="B753" s="1">
        <v>741</v>
      </c>
      <c r="C753" s="6">
        <f t="shared" si="22"/>
        <v>26.584895955934989</v>
      </c>
      <c r="D753" s="6">
        <f t="shared" si="23"/>
        <v>-5.8517781068758445</v>
      </c>
      <c r="E753" s="18"/>
      <c r="F753" s="18"/>
    </row>
    <row r="754" spans="2:6" x14ac:dyDescent="0.55000000000000004">
      <c r="B754" s="1">
        <v>742</v>
      </c>
      <c r="C754" s="6">
        <f t="shared" si="22"/>
        <v>-23.571313481716697</v>
      </c>
      <c r="D754" s="6">
        <f t="shared" si="23"/>
        <v>-13.65258879284953</v>
      </c>
      <c r="E754" s="18"/>
      <c r="F754" s="18"/>
    </row>
    <row r="755" spans="2:6" x14ac:dyDescent="0.55000000000000004">
      <c r="B755" s="1">
        <v>743</v>
      </c>
      <c r="C755" s="6">
        <f t="shared" si="22"/>
        <v>8.1635434280571193</v>
      </c>
      <c r="D755" s="6">
        <f t="shared" si="23"/>
        <v>26.00685599410712</v>
      </c>
      <c r="E755" s="18"/>
      <c r="F755" s="18"/>
    </row>
    <row r="756" spans="2:6" x14ac:dyDescent="0.55000000000000004">
      <c r="B756" s="1">
        <v>744</v>
      </c>
      <c r="C756" s="6">
        <f t="shared" si="22"/>
        <v>11.556092897514814</v>
      </c>
      <c r="D756" s="6">
        <f t="shared" si="23"/>
        <v>-24.707422304724702</v>
      </c>
      <c r="E756" s="18"/>
      <c r="F756" s="18"/>
    </row>
    <row r="757" spans="2:6" x14ac:dyDescent="0.55000000000000004">
      <c r="B757" s="1">
        <v>745</v>
      </c>
      <c r="C757" s="6">
        <f t="shared" si="22"/>
        <v>-25.227870211542985</v>
      </c>
      <c r="D757" s="6">
        <f t="shared" si="23"/>
        <v>10.418952182899295</v>
      </c>
      <c r="E757" s="18"/>
      <c r="F757" s="18"/>
    </row>
    <row r="758" spans="2:6" x14ac:dyDescent="0.55000000000000004">
      <c r="B758" s="1">
        <v>746</v>
      </c>
      <c r="C758" s="6">
        <f t="shared" si="22"/>
        <v>25.657164661912258</v>
      </c>
      <c r="D758" s="6">
        <f t="shared" si="23"/>
        <v>9.3653564540556005</v>
      </c>
      <c r="E758" s="18"/>
      <c r="F758" s="18"/>
    </row>
    <row r="759" spans="2:6" x14ac:dyDescent="0.55000000000000004">
      <c r="B759" s="1">
        <v>747</v>
      </c>
      <c r="C759" s="6">
        <f t="shared" si="22"/>
        <v>-12.600545087625338</v>
      </c>
      <c r="D759" s="6">
        <f t="shared" si="23"/>
        <v>-24.253376331857819</v>
      </c>
      <c r="E759" s="18"/>
      <c r="F759" s="18"/>
    </row>
    <row r="760" spans="2:6" x14ac:dyDescent="0.55000000000000004">
      <c r="B760" s="1">
        <v>748</v>
      </c>
      <c r="C760" s="6">
        <f t="shared" si="22"/>
        <v>-7.0969378880508884</v>
      </c>
      <c r="D760" s="6">
        <f t="shared" si="23"/>
        <v>26.412752083286357</v>
      </c>
      <c r="E760" s="18"/>
      <c r="F760" s="18"/>
    </row>
    <row r="761" spans="2:6" x14ac:dyDescent="0.55000000000000004">
      <c r="B761" s="1">
        <v>749</v>
      </c>
      <c r="C761" s="6">
        <f t="shared" si="22"/>
        <v>23.090328320444986</v>
      </c>
      <c r="D761" s="6">
        <f t="shared" si="23"/>
        <v>-14.691383122567336</v>
      </c>
      <c r="E761" s="18"/>
      <c r="F761" s="18"/>
    </row>
    <row r="762" spans="2:6" x14ac:dyDescent="0.55000000000000004">
      <c r="B762" s="1">
        <v>750</v>
      </c>
      <c r="C762" s="6">
        <f t="shared" si="22"/>
        <v>-26.967866574241608</v>
      </c>
      <c r="D762" s="6">
        <f t="shared" si="23"/>
        <v>-4.7680365386500787</v>
      </c>
      <c r="E762" s="18"/>
      <c r="F762" s="18"/>
    </row>
    <row r="763" spans="2:6" x14ac:dyDescent="0.55000000000000004">
      <c r="B763" s="1">
        <v>751</v>
      </c>
      <c r="C763" s="6">
        <f t="shared" si="22"/>
        <v>16.675179140790174</v>
      </c>
      <c r="D763" s="6">
        <f t="shared" si="23"/>
        <v>21.747146953624888</v>
      </c>
      <c r="E763" s="18"/>
      <c r="F763" s="18"/>
    </row>
    <row r="764" spans="2:6" x14ac:dyDescent="0.55000000000000004">
      <c r="B764" s="1">
        <v>752</v>
      </c>
      <c r="C764" s="6">
        <f t="shared" si="22"/>
        <v>2.3963621347272754</v>
      </c>
      <c r="D764" s="6">
        <f t="shared" si="23"/>
        <v>-27.31771309094605</v>
      </c>
      <c r="E764" s="18"/>
      <c r="F764" s="18"/>
    </row>
    <row r="765" spans="2:6" x14ac:dyDescent="0.55000000000000004">
      <c r="B765" s="1">
        <v>753</v>
      </c>
      <c r="C765" s="6">
        <f t="shared" si="22"/>
        <v>-20.233658970976645</v>
      </c>
      <c r="D765" s="6">
        <f t="shared" si="23"/>
        <v>18.536424807557051</v>
      </c>
      <c r="E765" s="18"/>
      <c r="F765" s="18"/>
    </row>
    <row r="766" spans="2:6" x14ac:dyDescent="0.55000000000000004">
      <c r="B766" s="1">
        <v>754</v>
      </c>
      <c r="C766" s="6">
        <f t="shared" si="22"/>
        <v>27.459060435491963</v>
      </c>
      <c r="D766" s="6">
        <f t="shared" si="23"/>
        <v>-2.6158167242830138E-11</v>
      </c>
      <c r="E766" s="18"/>
      <c r="F766" s="18"/>
    </row>
    <row r="767" spans="2:6" x14ac:dyDescent="0.55000000000000004">
      <c r="B767" s="1">
        <v>755</v>
      </c>
      <c r="C767" s="6">
        <f t="shared" si="22"/>
        <v>-20.260511881263451</v>
      </c>
      <c r="D767" s="6">
        <f t="shared" si="23"/>
        <v>-18.561025249408573</v>
      </c>
      <c r="E767" s="18"/>
      <c r="F767" s="18"/>
    </row>
    <row r="768" spans="2:6" x14ac:dyDescent="0.55000000000000004">
      <c r="B768" s="1">
        <v>756</v>
      </c>
      <c r="C768" s="6">
        <f t="shared" si="22"/>
        <v>2.4027269856447155</v>
      </c>
      <c r="D768" s="6">
        <f t="shared" si="23"/>
        <v>27.390270225619439</v>
      </c>
      <c r="E768" s="18"/>
      <c r="F768" s="18"/>
    </row>
    <row r="769" spans="2:6" x14ac:dyDescent="0.55000000000000004">
      <c r="B769" s="1">
        <v>757</v>
      </c>
      <c r="C769" s="6">
        <f t="shared" si="22"/>
        <v>16.741658523865922</v>
      </c>
      <c r="D769" s="6">
        <f t="shared" si="23"/>
        <v>-21.833846886663547</v>
      </c>
      <c r="E769" s="18"/>
      <c r="F769" s="18"/>
    </row>
    <row r="770" spans="2:6" x14ac:dyDescent="0.55000000000000004">
      <c r="B770" s="1">
        <v>758</v>
      </c>
      <c r="C770" s="6">
        <f t="shared" si="22"/>
        <v>-27.111313684994858</v>
      </c>
      <c r="D770" s="6">
        <f t="shared" si="23"/>
        <v>4.7933986141161444</v>
      </c>
      <c r="E770" s="18"/>
      <c r="F770" s="18"/>
    </row>
    <row r="771" spans="2:6" x14ac:dyDescent="0.55000000000000004">
      <c r="B771" s="1">
        <v>759</v>
      </c>
      <c r="C771" s="6">
        <f t="shared" si="22"/>
        <v>23.243958280651626</v>
      </c>
      <c r="D771" s="6">
        <f t="shared" si="23"/>
        <v>14.789131260737616</v>
      </c>
      <c r="E771" s="18"/>
      <c r="F771" s="18"/>
    </row>
    <row r="772" spans="2:6" x14ac:dyDescent="0.55000000000000004">
      <c r="B772" s="1">
        <v>760</v>
      </c>
      <c r="C772" s="6">
        <f t="shared" si="22"/>
        <v>-7.1536386925477817</v>
      </c>
      <c r="D772" s="6">
        <f t="shared" si="23"/>
        <v>-26.623776093118032</v>
      </c>
      <c r="E772" s="18"/>
      <c r="F772" s="18"/>
    </row>
    <row r="773" spans="2:6" x14ac:dyDescent="0.55000000000000004">
      <c r="B773" s="1">
        <v>761</v>
      </c>
      <c r="C773" s="6">
        <f t="shared" si="22"/>
        <v>-12.718074368201339</v>
      </c>
      <c r="D773" s="6">
        <f t="shared" si="23"/>
        <v>24.479595265545143</v>
      </c>
      <c r="E773" s="18"/>
      <c r="F773" s="18"/>
    </row>
    <row r="774" spans="2:6" x14ac:dyDescent="0.55000000000000004">
      <c r="B774" s="1">
        <v>762</v>
      </c>
      <c r="C774" s="6">
        <f t="shared" si="22"/>
        <v>25.930848828663692</v>
      </c>
      <c r="D774" s="6">
        <f t="shared" si="23"/>
        <v>-9.4652564162304014</v>
      </c>
      <c r="E774" s="18"/>
      <c r="F774" s="18"/>
    </row>
    <row r="775" spans="2:6" x14ac:dyDescent="0.55000000000000004">
      <c r="B775" s="1">
        <v>763</v>
      </c>
      <c r="C775" s="6">
        <f t="shared" si="22"/>
        <v>-25.530817467564482</v>
      </c>
      <c r="D775" s="6">
        <f t="shared" si="23"/>
        <v>-10.544067499684566</v>
      </c>
      <c r="E775" s="18"/>
      <c r="F775" s="18"/>
    </row>
    <row r="776" spans="2:6" x14ac:dyDescent="0.55000000000000004">
      <c r="B776" s="1">
        <v>764</v>
      </c>
      <c r="C776" s="6">
        <f t="shared" si="22"/>
        <v>11.710386682665073</v>
      </c>
      <c r="D776" s="6">
        <f t="shared" si="23"/>
        <v>25.037309035566512</v>
      </c>
      <c r="E776" s="18"/>
      <c r="F776" s="18"/>
    </row>
    <row r="777" spans="2:6" x14ac:dyDescent="0.55000000000000004">
      <c r="B777" s="1">
        <v>765</v>
      </c>
      <c r="C777" s="6">
        <f t="shared" si="22"/>
        <v>8.2835217732568136</v>
      </c>
      <c r="D777" s="6">
        <f t="shared" si="23"/>
        <v>-26.389074766501007</v>
      </c>
      <c r="E777" s="18"/>
      <c r="F777" s="18"/>
    </row>
    <row r="778" spans="2:6" x14ac:dyDescent="0.55000000000000004">
      <c r="B778" s="1">
        <v>766</v>
      </c>
      <c r="C778" s="6">
        <f t="shared" si="22"/>
        <v>-23.94948703644414</v>
      </c>
      <c r="D778" s="6">
        <f t="shared" si="23"/>
        <v>13.871628263877101</v>
      </c>
      <c r="E778" s="18"/>
      <c r="F778" s="18"/>
    </row>
    <row r="779" spans="2:6" x14ac:dyDescent="0.55000000000000004">
      <c r="B779" s="1">
        <v>767</v>
      </c>
      <c r="C779" s="6">
        <f t="shared" si="22"/>
        <v>27.047276636365279</v>
      </c>
      <c r="D779" s="6">
        <f t="shared" si="23"/>
        <v>5.9535557909478696</v>
      </c>
      <c r="E779" s="18"/>
      <c r="F779" s="18"/>
    </row>
    <row r="780" spans="2:6" x14ac:dyDescent="0.55000000000000004">
      <c r="B780" s="1">
        <v>768</v>
      </c>
      <c r="C780" s="6">
        <f t="shared" si="22"/>
        <v>-15.932178767080373</v>
      </c>
      <c r="D780" s="6">
        <f t="shared" si="23"/>
        <v>-22.67522171300191</v>
      </c>
      <c r="E780" s="18"/>
      <c r="F780" s="18"/>
    </row>
    <row r="781" spans="2:6" x14ac:dyDescent="0.55000000000000004">
      <c r="B781" s="1">
        <v>769</v>
      </c>
      <c r="C781" s="6">
        <f t="shared" ref="C781:C844" si="24">B781^$C$9*COS(2*PI()*B781/$C$8)</f>
        <v>-3.5718658948311868</v>
      </c>
      <c r="D781" s="6">
        <f t="shared" ref="D781:D844" si="25">B781^$C$9*SIN(2*PI()*B781/$C$8)</f>
        <v>27.499850436490409</v>
      </c>
      <c r="E781" s="18"/>
      <c r="F781" s="18"/>
    </row>
    <row r="782" spans="2:6" x14ac:dyDescent="0.55000000000000004">
      <c r="B782" s="1">
        <v>770</v>
      </c>
      <c r="C782" s="6">
        <f t="shared" si="24"/>
        <v>21.223804165908152</v>
      </c>
      <c r="D782" s="6">
        <f t="shared" si="25"/>
        <v>-17.875965336931589</v>
      </c>
      <c r="E782" s="18"/>
      <c r="F782" s="18"/>
    </row>
    <row r="783" spans="2:6" x14ac:dyDescent="0.55000000000000004">
      <c r="B783" s="1">
        <v>771</v>
      </c>
      <c r="C783" s="6">
        <f t="shared" si="24"/>
        <v>-27.74278817580511</v>
      </c>
      <c r="D783" s="6">
        <f t="shared" si="25"/>
        <v>-1.1565916446214706</v>
      </c>
      <c r="E783" s="18"/>
      <c r="F783" s="18"/>
    </row>
    <row r="784" spans="2:6" x14ac:dyDescent="0.55000000000000004">
      <c r="B784" s="1">
        <v>772</v>
      </c>
      <c r="C784" s="6">
        <f t="shared" si="24"/>
        <v>19.687770081724373</v>
      </c>
      <c r="D784" s="6">
        <f t="shared" si="25"/>
        <v>19.605910058172729</v>
      </c>
      <c r="E784" s="18"/>
      <c r="F784" s="18"/>
    </row>
    <row r="785" spans="2:6" x14ac:dyDescent="0.55000000000000004">
      <c r="B785" s="1">
        <v>773</v>
      </c>
      <c r="C785" s="6">
        <f t="shared" si="24"/>
        <v>-1.273822460152634</v>
      </c>
      <c r="D785" s="6">
        <f t="shared" si="25"/>
        <v>-27.773681360957731</v>
      </c>
      <c r="E785" s="18"/>
      <c r="F785" s="18"/>
    </row>
    <row r="786" spans="2:6" x14ac:dyDescent="0.55000000000000004">
      <c r="B786" s="1">
        <v>774</v>
      </c>
      <c r="C786" s="6">
        <f t="shared" si="24"/>
        <v>-17.833521134019048</v>
      </c>
      <c r="D786" s="6">
        <f t="shared" si="25"/>
        <v>21.353349244614908</v>
      </c>
      <c r="E786" s="18"/>
      <c r="F786" s="18"/>
    </row>
    <row r="787" spans="2:6" x14ac:dyDescent="0.55000000000000004">
      <c r="B787" s="1">
        <v>775</v>
      </c>
      <c r="C787" s="6">
        <f t="shared" si="24"/>
        <v>27.591743629595292</v>
      </c>
      <c r="D787" s="6">
        <f t="shared" si="25"/>
        <v>-3.7007679579632642</v>
      </c>
      <c r="E787" s="18"/>
      <c r="F787" s="18"/>
    </row>
    <row r="788" spans="2:6" x14ac:dyDescent="0.55000000000000004">
      <c r="B788" s="1">
        <v>776</v>
      </c>
      <c r="C788" s="6">
        <f t="shared" si="24"/>
        <v>-22.859545186567164</v>
      </c>
      <c r="D788" s="6">
        <f t="shared" si="25"/>
        <v>-15.919836489841654</v>
      </c>
      <c r="E788" s="18"/>
      <c r="F788" s="18"/>
    </row>
    <row r="789" spans="2:6" x14ac:dyDescent="0.55000000000000004">
      <c r="B789" s="1">
        <v>777</v>
      </c>
      <c r="C789" s="6">
        <f t="shared" si="24"/>
        <v>6.1056150249934396</v>
      </c>
      <c r="D789" s="6">
        <f t="shared" si="25"/>
        <v>27.197820963573061</v>
      </c>
      <c r="E789" s="18"/>
      <c r="F789" s="18"/>
    </row>
    <row r="790" spans="2:6" x14ac:dyDescent="0.55000000000000004">
      <c r="B790" s="1">
        <v>778</v>
      </c>
      <c r="C790" s="6">
        <f t="shared" si="24"/>
        <v>13.879174254590962</v>
      </c>
      <c r="D790" s="6">
        <f t="shared" si="25"/>
        <v>-24.194390300453932</v>
      </c>
      <c r="E790" s="18"/>
      <c r="F790" s="18"/>
    </row>
    <row r="791" spans="2:6" x14ac:dyDescent="0.55000000000000004">
      <c r="B791" s="1">
        <v>779</v>
      </c>
      <c r="C791" s="6">
        <f t="shared" si="24"/>
        <v>-26.594389372018227</v>
      </c>
      <c r="D791" s="6">
        <f t="shared" si="25"/>
        <v>8.4698556026347926</v>
      </c>
      <c r="E791" s="18"/>
      <c r="F791" s="18"/>
    </row>
    <row r="792" spans="2:6" x14ac:dyDescent="0.55000000000000004">
      <c r="B792" s="1">
        <v>780</v>
      </c>
      <c r="C792" s="6">
        <f t="shared" si="24"/>
        <v>25.347202036232186</v>
      </c>
      <c r="D792" s="6">
        <f t="shared" si="25"/>
        <v>11.726864411871862</v>
      </c>
      <c r="E792" s="18"/>
      <c r="F792" s="18"/>
    </row>
    <row r="793" spans="2:6" x14ac:dyDescent="0.55000000000000004">
      <c r="B793" s="1">
        <v>781</v>
      </c>
      <c r="C793" s="6">
        <f t="shared" si="24"/>
        <v>-10.775245952733458</v>
      </c>
      <c r="D793" s="6">
        <f t="shared" si="25"/>
        <v>-25.785540030375575</v>
      </c>
      <c r="E793" s="18"/>
      <c r="F793" s="18"/>
    </row>
    <row r="794" spans="2:6" x14ac:dyDescent="0.55000000000000004">
      <c r="B794" s="1">
        <v>782</v>
      </c>
      <c r="C794" s="6">
        <f t="shared" si="24"/>
        <v>-9.4791335669595576</v>
      </c>
      <c r="D794" s="6">
        <f t="shared" si="25"/>
        <v>26.308668282901372</v>
      </c>
      <c r="E794" s="18"/>
      <c r="F794" s="18"/>
    </row>
    <row r="795" spans="2:6" x14ac:dyDescent="0.55000000000000004">
      <c r="B795" s="1">
        <v>783</v>
      </c>
      <c r="C795" s="6">
        <f t="shared" si="24"/>
        <v>24.776951958312154</v>
      </c>
      <c r="D795" s="6">
        <f t="shared" si="25"/>
        <v>-13.00394754124652</v>
      </c>
      <c r="E795" s="18"/>
      <c r="F795" s="18"/>
    </row>
    <row r="796" spans="2:6" x14ac:dyDescent="0.55000000000000004">
      <c r="B796" s="1">
        <v>784</v>
      </c>
      <c r="C796" s="6">
        <f t="shared" si="24"/>
        <v>-27.070922426057088</v>
      </c>
      <c r="D796" s="6">
        <f t="shared" si="25"/>
        <v>-7.1529825249611356</v>
      </c>
      <c r="E796" s="18"/>
      <c r="F796" s="18"/>
    </row>
    <row r="797" spans="2:6" x14ac:dyDescent="0.55000000000000004">
      <c r="B797" s="1">
        <v>785</v>
      </c>
      <c r="C797" s="6">
        <f t="shared" si="24"/>
        <v>15.138665161983271</v>
      </c>
      <c r="D797" s="6">
        <f t="shared" si="25"/>
        <v>23.575852415413404</v>
      </c>
      <c r="E797" s="18"/>
      <c r="F797" s="18"/>
    </row>
    <row r="798" spans="2:6" x14ac:dyDescent="0.55000000000000004">
      <c r="B798" s="1">
        <v>786</v>
      </c>
      <c r="C798" s="6">
        <f t="shared" si="24"/>
        <v>4.7660576049614338</v>
      </c>
      <c r="D798" s="6">
        <f t="shared" si="25"/>
        <v>-27.627607477054347</v>
      </c>
      <c r="E798" s="18"/>
      <c r="F798" s="18"/>
    </row>
    <row r="799" spans="2:6" x14ac:dyDescent="0.55000000000000004">
      <c r="B799" s="1">
        <v>787</v>
      </c>
      <c r="C799" s="6">
        <f t="shared" si="24"/>
        <v>-22.190965288695754</v>
      </c>
      <c r="D799" s="6">
        <f t="shared" si="25"/>
        <v>17.162781230205677</v>
      </c>
      <c r="E799" s="18"/>
      <c r="F799" s="18"/>
    </row>
    <row r="800" spans="2:6" x14ac:dyDescent="0.55000000000000004">
      <c r="B800" s="1">
        <v>788</v>
      </c>
      <c r="C800" s="6">
        <f t="shared" si="24"/>
        <v>27.973928752967328</v>
      </c>
      <c r="D800" s="6">
        <f t="shared" si="25"/>
        <v>2.336516664590186</v>
      </c>
      <c r="E800" s="18"/>
      <c r="F800" s="18"/>
    </row>
    <row r="801" spans="2:6" x14ac:dyDescent="0.55000000000000004">
      <c r="B801" s="1">
        <v>789</v>
      </c>
      <c r="C801" s="6">
        <f t="shared" si="24"/>
        <v>-19.060485202577201</v>
      </c>
      <c r="D801" s="6">
        <f t="shared" si="25"/>
        <v>-20.632447839321816</v>
      </c>
      <c r="E801" s="18"/>
      <c r="F801" s="18"/>
    </row>
    <row r="802" spans="2:6" x14ac:dyDescent="0.55000000000000004">
      <c r="B802" s="1">
        <v>790</v>
      </c>
      <c r="C802" s="6">
        <f t="shared" si="24"/>
        <v>0.11710914654509245</v>
      </c>
      <c r="D802" s="6">
        <f t="shared" si="25"/>
        <v>28.1066946731165</v>
      </c>
      <c r="E802" s="18"/>
      <c r="F802" s="18"/>
    </row>
    <row r="803" spans="2:6" x14ac:dyDescent="0.55000000000000004">
      <c r="B803" s="1">
        <v>791</v>
      </c>
      <c r="C803" s="6">
        <f t="shared" si="24"/>
        <v>18.911816266092909</v>
      </c>
      <c r="D803" s="6">
        <f t="shared" si="25"/>
        <v>-20.816897115505558</v>
      </c>
      <c r="E803" s="18"/>
      <c r="F803" s="18"/>
    </row>
    <row r="804" spans="2:6" x14ac:dyDescent="0.55000000000000004">
      <c r="B804" s="1">
        <v>792</v>
      </c>
      <c r="C804" s="6">
        <f t="shared" si="24"/>
        <v>-28.024345328615603</v>
      </c>
      <c r="D804" s="6">
        <f t="shared" si="25"/>
        <v>2.5760568515661575</v>
      </c>
      <c r="E804" s="18"/>
      <c r="F804" s="18"/>
    </row>
    <row r="805" spans="2:6" x14ac:dyDescent="0.55000000000000004">
      <c r="B805" s="1">
        <v>793</v>
      </c>
      <c r="C805" s="6">
        <f t="shared" si="24"/>
        <v>22.418184275885764</v>
      </c>
      <c r="D805" s="6">
        <f t="shared" si="25"/>
        <v>17.041860631176053</v>
      </c>
      <c r="E805" s="18"/>
      <c r="F805" s="18"/>
    </row>
    <row r="806" spans="2:6" x14ac:dyDescent="0.55000000000000004">
      <c r="B806" s="1">
        <v>794</v>
      </c>
      <c r="C806" s="6">
        <f t="shared" si="24"/>
        <v>-5.0214752478274312</v>
      </c>
      <c r="D806" s="6">
        <f t="shared" si="25"/>
        <v>-27.726968574574762</v>
      </c>
      <c r="E806" s="18"/>
      <c r="F806" s="18"/>
    </row>
    <row r="807" spans="2:6" x14ac:dyDescent="0.55000000000000004">
      <c r="B807" s="1">
        <v>795</v>
      </c>
      <c r="C807" s="6">
        <f t="shared" si="24"/>
        <v>-15.036549776020445</v>
      </c>
      <c r="D807" s="6">
        <f t="shared" si="25"/>
        <v>23.851670189595936</v>
      </c>
      <c r="E807" s="18"/>
      <c r="F807" s="18"/>
    </row>
    <row r="808" spans="2:6" x14ac:dyDescent="0.55000000000000004">
      <c r="B808" s="1">
        <v>796</v>
      </c>
      <c r="C808" s="6">
        <f t="shared" si="24"/>
        <v>27.216303490207171</v>
      </c>
      <c r="D808" s="6">
        <f t="shared" si="25"/>
        <v>-7.4345695456385981</v>
      </c>
      <c r="E808" s="18"/>
      <c r="F808" s="18"/>
    </row>
    <row r="809" spans="2:6" x14ac:dyDescent="0.55000000000000004">
      <c r="B809" s="1">
        <v>797</v>
      </c>
      <c r="C809" s="6">
        <f t="shared" si="24"/>
        <v>-25.105934869701798</v>
      </c>
      <c r="D809" s="6">
        <f t="shared" si="25"/>
        <v>-12.910926934898653</v>
      </c>
      <c r="E809" s="18"/>
      <c r="F809" s="18"/>
    </row>
    <row r="810" spans="2:6" x14ac:dyDescent="0.55000000000000004">
      <c r="B810" s="1">
        <v>798</v>
      </c>
      <c r="C810" s="6">
        <f t="shared" si="24"/>
        <v>9.7967459334954619</v>
      </c>
      <c r="D810" s="6">
        <f t="shared" si="25"/>
        <v>26.495731148895292</v>
      </c>
      <c r="E810" s="18"/>
      <c r="F810" s="18"/>
    </row>
    <row r="811" spans="2:6" x14ac:dyDescent="0.55000000000000004">
      <c r="B811" s="1">
        <v>799</v>
      </c>
      <c r="C811" s="6">
        <f t="shared" si="24"/>
        <v>10.680996826121797</v>
      </c>
      <c r="D811" s="6">
        <f t="shared" si="25"/>
        <v>-26.170905731372311</v>
      </c>
      <c r="E811" s="18"/>
      <c r="F811" s="18"/>
    </row>
    <row r="812" spans="2:6" x14ac:dyDescent="0.55000000000000004">
      <c r="B812" s="1">
        <v>800</v>
      </c>
      <c r="C812" s="6">
        <f t="shared" si="24"/>
        <v>-25.570252738000676</v>
      </c>
      <c r="D812" s="6">
        <f t="shared" si="25"/>
        <v>12.089754956770999</v>
      </c>
      <c r="E812" s="18"/>
      <c r="F812" s="18"/>
    </row>
    <row r="813" spans="2:6" x14ac:dyDescent="0.55000000000000004">
      <c r="B813" s="1">
        <v>801</v>
      </c>
      <c r="C813" s="6">
        <f t="shared" si="24"/>
        <v>27.037938350506362</v>
      </c>
      <c r="D813" s="6">
        <f t="shared" si="25"/>
        <v>8.3636050692400108</v>
      </c>
      <c r="E813" s="18"/>
      <c r="F813" s="18"/>
    </row>
    <row r="814" spans="2:6" x14ac:dyDescent="0.55000000000000004">
      <c r="B814" s="1">
        <v>802</v>
      </c>
      <c r="C814" s="6">
        <f t="shared" si="24"/>
        <v>-14.295832603929446</v>
      </c>
      <c r="D814" s="6">
        <f t="shared" si="25"/>
        <v>-24.446455165533262</v>
      </c>
      <c r="E814" s="18"/>
      <c r="F814" s="18"/>
    </row>
    <row r="815" spans="2:6" x14ac:dyDescent="0.55000000000000004">
      <c r="B815" s="1">
        <v>803</v>
      </c>
      <c r="C815" s="6">
        <f t="shared" si="24"/>
        <v>-5.9763108369439042</v>
      </c>
      <c r="D815" s="6">
        <f t="shared" si="25"/>
        <v>27.699886439843517</v>
      </c>
      <c r="E815" s="18"/>
      <c r="F815" s="18"/>
    </row>
    <row r="816" spans="2:6" x14ac:dyDescent="0.55000000000000004">
      <c r="B816" s="1">
        <v>804</v>
      </c>
      <c r="C816" s="6">
        <f t="shared" si="24"/>
        <v>23.13246438782922</v>
      </c>
      <c r="D816" s="6">
        <f t="shared" si="25"/>
        <v>-16.397838008280633</v>
      </c>
      <c r="E816" s="18"/>
      <c r="F816" s="18"/>
    </row>
    <row r="817" spans="2:6" x14ac:dyDescent="0.55000000000000004">
      <c r="B817" s="1">
        <v>805</v>
      </c>
      <c r="C817" s="6">
        <f t="shared" si="24"/>
        <v>-28.151160477365263</v>
      </c>
      <c r="D817" s="6">
        <f t="shared" si="25"/>
        <v>-3.5372537055783906</v>
      </c>
      <c r="E817" s="18"/>
      <c r="F817" s="18"/>
    </row>
    <row r="818" spans="2:6" x14ac:dyDescent="0.55000000000000004">
      <c r="B818" s="1">
        <v>806</v>
      </c>
      <c r="C818" s="6">
        <f t="shared" si="24"/>
        <v>18.37938669788101</v>
      </c>
      <c r="D818" s="6">
        <f t="shared" si="25"/>
        <v>21.637886787062978</v>
      </c>
      <c r="E818" s="18"/>
      <c r="F818" s="18"/>
    </row>
    <row r="819" spans="2:6" x14ac:dyDescent="0.55000000000000004">
      <c r="B819" s="1">
        <v>807</v>
      </c>
      <c r="C819" s="6">
        <f t="shared" si="24"/>
        <v>1.0650157143845971</v>
      </c>
      <c r="D819" s="6">
        <f t="shared" si="25"/>
        <v>-28.387774508194788</v>
      </c>
      <c r="E819" s="18"/>
      <c r="F819" s="18"/>
    </row>
    <row r="820" spans="2:6" x14ac:dyDescent="0.55000000000000004">
      <c r="B820" s="1">
        <v>808</v>
      </c>
      <c r="C820" s="6">
        <f t="shared" si="24"/>
        <v>-19.97373902076912</v>
      </c>
      <c r="D820" s="6">
        <f t="shared" si="25"/>
        <v>20.224978356730198</v>
      </c>
      <c r="E820" s="18"/>
      <c r="F820" s="18"/>
    </row>
    <row r="821" spans="2:6" x14ac:dyDescent="0.55000000000000004">
      <c r="B821" s="1">
        <v>809</v>
      </c>
      <c r="C821" s="6">
        <f t="shared" si="24"/>
        <v>28.407380730881989</v>
      </c>
      <c r="D821" s="6">
        <f t="shared" si="25"/>
        <v>-1.4215203166732429</v>
      </c>
      <c r="E821" s="18"/>
      <c r="F821" s="18"/>
    </row>
    <row r="822" spans="2:6" x14ac:dyDescent="0.55000000000000004">
      <c r="B822" s="1">
        <v>810</v>
      </c>
      <c r="C822" s="6">
        <f t="shared" si="24"/>
        <v>-21.920118101128555</v>
      </c>
      <c r="D822" s="6">
        <f t="shared" si="25"/>
        <v>-18.15236685483676</v>
      </c>
      <c r="E822" s="18"/>
      <c r="F822" s="18"/>
    </row>
    <row r="823" spans="2:6" x14ac:dyDescent="0.55000000000000004">
      <c r="B823" s="1">
        <v>811</v>
      </c>
      <c r="C823" s="6">
        <f t="shared" si="24"/>
        <v>3.9033151290866015</v>
      </c>
      <c r="D823" s="6">
        <f t="shared" si="25"/>
        <v>28.209291572158342</v>
      </c>
      <c r="E823" s="18"/>
      <c r="F823" s="18"/>
    </row>
    <row r="824" spans="2:6" x14ac:dyDescent="0.55000000000000004">
      <c r="B824" s="1">
        <v>812</v>
      </c>
      <c r="C824" s="6">
        <f t="shared" si="24"/>
        <v>16.187353578026823</v>
      </c>
      <c r="D824" s="6">
        <f t="shared" si="25"/>
        <v>-23.451430321836281</v>
      </c>
      <c r="E824" s="18"/>
      <c r="F824" s="18"/>
    </row>
    <row r="825" spans="2:6" x14ac:dyDescent="0.55000000000000004">
      <c r="B825" s="1">
        <v>813</v>
      </c>
      <c r="C825" s="6">
        <f t="shared" si="24"/>
        <v>-27.794489049914169</v>
      </c>
      <c r="D825" s="6">
        <f t="shared" si="25"/>
        <v>6.3613189241069632</v>
      </c>
      <c r="E825" s="18"/>
      <c r="F825" s="18"/>
    </row>
    <row r="826" spans="2:6" x14ac:dyDescent="0.55000000000000004">
      <c r="B826" s="1">
        <v>814</v>
      </c>
      <c r="C826" s="6">
        <f t="shared" si="24"/>
        <v>24.806764198319062</v>
      </c>
      <c r="D826" s="6">
        <f t="shared" si="25"/>
        <v>14.093418677134215</v>
      </c>
      <c r="E826" s="18"/>
      <c r="F826" s="18"/>
    </row>
    <row r="827" spans="2:6" x14ac:dyDescent="0.55000000000000004">
      <c r="B827" s="1">
        <v>815</v>
      </c>
      <c r="C827" s="6">
        <f t="shared" si="24"/>
        <v>-8.7766176979502344</v>
      </c>
      <c r="D827" s="6">
        <f t="shared" si="25"/>
        <v>-27.165621321516404</v>
      </c>
      <c r="E827" s="18"/>
      <c r="F827" s="18"/>
    </row>
    <row r="828" spans="2:6" x14ac:dyDescent="0.55000000000000004">
      <c r="B828" s="1">
        <v>816</v>
      </c>
      <c r="C828" s="6">
        <f t="shared" si="24"/>
        <v>-11.886307529259438</v>
      </c>
      <c r="D828" s="6">
        <f t="shared" si="25"/>
        <v>25.97529005266102</v>
      </c>
      <c r="E828" s="18"/>
      <c r="F828" s="18"/>
    </row>
    <row r="829" spans="2:6" x14ac:dyDescent="0.55000000000000004">
      <c r="B829" s="1">
        <v>817</v>
      </c>
      <c r="C829" s="6">
        <f t="shared" si="24"/>
        <v>26.326986413028216</v>
      </c>
      <c r="D829" s="6">
        <f t="shared" si="25"/>
        <v>-11.130578889178574</v>
      </c>
      <c r="E829" s="18"/>
      <c r="F829" s="18"/>
    </row>
    <row r="830" spans="2:6" x14ac:dyDescent="0.55000000000000004">
      <c r="B830" s="1">
        <v>818</v>
      </c>
      <c r="C830" s="6">
        <f t="shared" si="24"/>
        <v>-26.947585779878356</v>
      </c>
      <c r="D830" s="6">
        <f t="shared" si="25"/>
        <v>-9.5826729379697486</v>
      </c>
      <c r="E830" s="18"/>
      <c r="F830" s="18"/>
    </row>
    <row r="831" spans="2:6" x14ac:dyDescent="0.55000000000000004">
      <c r="B831" s="1">
        <v>819</v>
      </c>
      <c r="C831" s="6">
        <f t="shared" si="24"/>
        <v>13.40499521577178</v>
      </c>
      <c r="D831" s="6">
        <f t="shared" si="25"/>
        <v>25.284503223617737</v>
      </c>
      <c r="E831" s="18"/>
      <c r="F831" s="18"/>
    </row>
    <row r="832" spans="2:6" x14ac:dyDescent="0.55000000000000004">
      <c r="B832" s="1">
        <v>820</v>
      </c>
      <c r="C832" s="6">
        <f t="shared" si="24"/>
        <v>7.1999494052170281</v>
      </c>
      <c r="D832" s="6">
        <f t="shared" si="25"/>
        <v>-27.715712665603874</v>
      </c>
      <c r="E832" s="18"/>
      <c r="F832" s="18"/>
    </row>
    <row r="833" spans="2:6" x14ac:dyDescent="0.55000000000000004">
      <c r="B833" s="1">
        <v>821</v>
      </c>
      <c r="C833" s="6">
        <f t="shared" si="24"/>
        <v>-24.045669997543527</v>
      </c>
      <c r="D833" s="6">
        <f t="shared" si="25"/>
        <v>15.582225591013467</v>
      </c>
      <c r="E833" s="18"/>
      <c r="F833" s="18"/>
    </row>
    <row r="834" spans="2:6" x14ac:dyDescent="0.55000000000000004">
      <c r="B834" s="1">
        <v>822</v>
      </c>
      <c r="C834" s="6">
        <f t="shared" si="24"/>
        <v>28.273279982185869</v>
      </c>
      <c r="D834" s="6">
        <f t="shared" si="25"/>
        <v>4.7562210891555248</v>
      </c>
      <c r="E834" s="18"/>
      <c r="F834" s="18"/>
    </row>
    <row r="835" spans="2:6" x14ac:dyDescent="0.55000000000000004">
      <c r="B835" s="1">
        <v>823</v>
      </c>
      <c r="C835" s="6">
        <f t="shared" si="24"/>
        <v>-17.645332026646624</v>
      </c>
      <c r="D835" s="6">
        <f t="shared" si="25"/>
        <v>-22.619510553267922</v>
      </c>
      <c r="E835" s="18"/>
      <c r="F835" s="18"/>
    </row>
    <row r="836" spans="2:6" x14ac:dyDescent="0.55000000000000004">
      <c r="B836" s="1">
        <v>824</v>
      </c>
      <c r="C836" s="6">
        <f t="shared" si="24"/>
        <v>-2.2700844482810836</v>
      </c>
      <c r="D836" s="6">
        <f t="shared" si="25"/>
        <v>28.615497839416882</v>
      </c>
      <c r="E836" s="18"/>
      <c r="F836" s="18"/>
    </row>
    <row r="837" spans="2:6" x14ac:dyDescent="0.55000000000000004">
      <c r="B837" s="1">
        <v>825</v>
      </c>
      <c r="C837" s="6">
        <f t="shared" si="24"/>
        <v>21.016508653911711</v>
      </c>
      <c r="D837" s="6">
        <f t="shared" si="25"/>
        <v>-19.578211460704324</v>
      </c>
      <c r="E837" s="18"/>
      <c r="F837" s="18"/>
    </row>
    <row r="838" spans="2:6" x14ac:dyDescent="0.55000000000000004">
      <c r="B838" s="1">
        <v>826</v>
      </c>
      <c r="C838" s="6">
        <f t="shared" si="24"/>
        <v>-28.73921785503563</v>
      </c>
      <c r="D838" s="6">
        <f t="shared" si="25"/>
        <v>0.23949338362742917</v>
      </c>
      <c r="E838" s="18"/>
      <c r="F838" s="18"/>
    </row>
    <row r="839" spans="2:6" x14ac:dyDescent="0.55000000000000004">
      <c r="B839" s="1">
        <v>827</v>
      </c>
      <c r="C839" s="6">
        <f t="shared" si="24"/>
        <v>21.36572148340408</v>
      </c>
      <c r="D839" s="6">
        <f t="shared" si="25"/>
        <v>19.248530995730697</v>
      </c>
      <c r="E839" s="18"/>
      <c r="F839" s="18"/>
    </row>
    <row r="840" spans="2:6" x14ac:dyDescent="0.55000000000000004">
      <c r="B840" s="1">
        <v>828</v>
      </c>
      <c r="C840" s="6">
        <f t="shared" si="24"/>
        <v>-2.7533194128309391</v>
      </c>
      <c r="D840" s="6">
        <f t="shared" si="25"/>
        <v>-28.642961303100773</v>
      </c>
      <c r="E840" s="18"/>
      <c r="F840" s="18"/>
    </row>
    <row r="841" spans="2:6" x14ac:dyDescent="0.55000000000000004">
      <c r="B841" s="1">
        <v>829</v>
      </c>
      <c r="C841" s="6">
        <f t="shared" si="24"/>
        <v>-17.32873938004489</v>
      </c>
      <c r="D841" s="6">
        <f t="shared" si="25"/>
        <v>22.993798979257026</v>
      </c>
      <c r="E841" s="18"/>
      <c r="F841" s="18"/>
    </row>
    <row r="842" spans="2:6" x14ac:dyDescent="0.55000000000000004">
      <c r="B842" s="1">
        <v>830</v>
      </c>
      <c r="C842" s="6">
        <f t="shared" si="24"/>
        <v>28.326934493792461</v>
      </c>
      <c r="D842" s="6">
        <f t="shared" si="25"/>
        <v>-5.2521216840807146</v>
      </c>
      <c r="E842" s="18"/>
      <c r="F842" s="18"/>
    </row>
    <row r="843" spans="2:6" x14ac:dyDescent="0.55000000000000004">
      <c r="B843" s="1">
        <v>831</v>
      </c>
      <c r="C843" s="6">
        <f t="shared" si="24"/>
        <v>-24.449570756052058</v>
      </c>
      <c r="D843" s="6">
        <f t="shared" si="25"/>
        <v>-15.271492718290638</v>
      </c>
      <c r="E843" s="18"/>
      <c r="F843" s="18"/>
    </row>
    <row r="844" spans="2:6" x14ac:dyDescent="0.55000000000000004">
      <c r="B844" s="1">
        <v>832</v>
      </c>
      <c r="C844" s="6">
        <f t="shared" si="24"/>
        <v>7.716697137681388</v>
      </c>
      <c r="D844" s="6">
        <f t="shared" si="25"/>
        <v>27.793031236000505</v>
      </c>
      <c r="E844" s="18"/>
      <c r="F844" s="18"/>
    </row>
    <row r="845" spans="2:6" x14ac:dyDescent="0.55000000000000004">
      <c r="B845" s="1">
        <v>833</v>
      </c>
      <c r="C845" s="6">
        <f t="shared" ref="C845:C908" si="26">B845^$C$9*COS(2*PI()*B845/$C$8)</f>
        <v>13.092239600323818</v>
      </c>
      <c r="D845" s="6">
        <f t="shared" ref="D845:D908" si="27">B845^$C$9*SIN(2*PI()*B845/$C$8)</f>
        <v>-25.721455290238008</v>
      </c>
      <c r="E845" s="18"/>
      <c r="F845" s="18"/>
    </row>
    <row r="846" spans="2:6" x14ac:dyDescent="0.55000000000000004">
      <c r="B846" s="1">
        <v>834</v>
      </c>
      <c r="C846" s="6">
        <f t="shared" si="26"/>
        <v>-27.044822333112101</v>
      </c>
      <c r="D846" s="6">
        <f t="shared" si="27"/>
        <v>10.128059289439459</v>
      </c>
      <c r="E846" s="18"/>
      <c r="F846" s="18"/>
    </row>
    <row r="847" spans="2:6" x14ac:dyDescent="0.55000000000000004">
      <c r="B847" s="1">
        <v>835</v>
      </c>
      <c r="C847" s="6">
        <f t="shared" si="26"/>
        <v>26.799254785250298</v>
      </c>
      <c r="D847" s="6">
        <f t="shared" si="27"/>
        <v>10.807402229733055</v>
      </c>
      <c r="E847" s="18"/>
      <c r="F847" s="18"/>
    </row>
    <row r="848" spans="2:6" x14ac:dyDescent="0.55000000000000004">
      <c r="B848" s="1">
        <v>836</v>
      </c>
      <c r="C848" s="6">
        <f t="shared" si="26"/>
        <v>-12.46758459719045</v>
      </c>
      <c r="D848" s="6">
        <f t="shared" si="27"/>
        <v>-26.087532162163203</v>
      </c>
      <c r="E848" s="18"/>
      <c r="F848" s="18"/>
    </row>
    <row r="849" spans="2:6" x14ac:dyDescent="0.55000000000000004">
      <c r="B849" s="1">
        <v>837</v>
      </c>
      <c r="C849" s="6">
        <f t="shared" si="26"/>
        <v>-8.4342525989922486</v>
      </c>
      <c r="D849" s="6">
        <f t="shared" si="27"/>
        <v>27.67423681145322</v>
      </c>
      <c r="E849" s="18"/>
      <c r="F849" s="18"/>
    </row>
    <row r="850" spans="2:6" x14ac:dyDescent="0.55000000000000004">
      <c r="B850" s="1">
        <v>838</v>
      </c>
      <c r="C850" s="6">
        <f t="shared" si="26"/>
        <v>24.928002485934819</v>
      </c>
      <c r="D850" s="6">
        <f t="shared" si="27"/>
        <v>-14.717156385023138</v>
      </c>
      <c r="E850" s="18"/>
      <c r="F850" s="18"/>
    </row>
    <row r="851" spans="2:6" x14ac:dyDescent="0.55000000000000004">
      <c r="B851" s="1">
        <v>839</v>
      </c>
      <c r="C851" s="6">
        <f t="shared" si="26"/>
        <v>-28.339204875337696</v>
      </c>
      <c r="D851" s="6">
        <f t="shared" si="27"/>
        <v>-5.9907818382608431</v>
      </c>
      <c r="E851" s="18"/>
      <c r="F851" s="18"/>
    </row>
    <row r="852" spans="2:6" x14ac:dyDescent="0.55000000000000004">
      <c r="B852" s="1">
        <v>840</v>
      </c>
      <c r="C852" s="6">
        <f t="shared" si="26"/>
        <v>16.859305211818214</v>
      </c>
      <c r="D852" s="6">
        <f t="shared" si="27"/>
        <v>23.574643746507796</v>
      </c>
      <c r="E852" s="18"/>
      <c r="F852" s="18"/>
    </row>
    <row r="853" spans="2:6" x14ac:dyDescent="0.55000000000000004">
      <c r="B853" s="1">
        <v>841</v>
      </c>
      <c r="C853" s="6">
        <f t="shared" si="26"/>
        <v>3.495563727373276</v>
      </c>
      <c r="D853" s="6">
        <f t="shared" si="27"/>
        <v>-28.788557348847341</v>
      </c>
      <c r="E853" s="18"/>
      <c r="F853" s="18"/>
    </row>
    <row r="854" spans="2:6" x14ac:dyDescent="0.55000000000000004">
      <c r="B854" s="1">
        <v>842</v>
      </c>
      <c r="C854" s="6">
        <f t="shared" si="26"/>
        <v>-22.037374185268824</v>
      </c>
      <c r="D854" s="6">
        <f t="shared" si="27"/>
        <v>18.877344596591101</v>
      </c>
      <c r="E854" s="18"/>
      <c r="F854" s="18"/>
    </row>
    <row r="855" spans="2:6" x14ac:dyDescent="0.55000000000000004">
      <c r="B855" s="1">
        <v>843</v>
      </c>
      <c r="C855" s="6">
        <f t="shared" si="26"/>
        <v>29.018334278441458</v>
      </c>
      <c r="D855" s="6">
        <f t="shared" si="27"/>
        <v>0.967613406598684</v>
      </c>
      <c r="E855" s="18"/>
      <c r="F855" s="18"/>
    </row>
    <row r="856" spans="2:6" x14ac:dyDescent="0.55000000000000004">
      <c r="B856" s="1">
        <v>844</v>
      </c>
      <c r="C856" s="6">
        <f t="shared" si="26"/>
        <v>-20.755501045175329</v>
      </c>
      <c r="D856" s="6">
        <f t="shared" si="27"/>
        <v>-20.327547229405859</v>
      </c>
      <c r="E856" s="18"/>
      <c r="F856" s="18"/>
    </row>
    <row r="857" spans="2:6" x14ac:dyDescent="0.55000000000000004">
      <c r="B857" s="1">
        <v>845</v>
      </c>
      <c r="C857" s="6">
        <f t="shared" si="26"/>
        <v>1.5737576377574605</v>
      </c>
      <c r="D857" s="6">
        <f t="shared" si="27"/>
        <v>29.02625168528655</v>
      </c>
      <c r="E857" s="18"/>
      <c r="F857" s="18"/>
    </row>
    <row r="858" spans="2:6" x14ac:dyDescent="0.55000000000000004">
      <c r="B858" s="1">
        <v>846</v>
      </c>
      <c r="C858" s="6">
        <f t="shared" si="26"/>
        <v>18.457867675741628</v>
      </c>
      <c r="D858" s="6">
        <f t="shared" si="27"/>
        <v>-22.479037365172296</v>
      </c>
      <c r="E858" s="18"/>
      <c r="F858" s="18"/>
    </row>
    <row r="859" spans="2:6" x14ac:dyDescent="0.55000000000000004">
      <c r="B859" s="1">
        <v>847</v>
      </c>
      <c r="C859" s="6">
        <f t="shared" si="26"/>
        <v>-28.811723063611687</v>
      </c>
      <c r="D859" s="6">
        <f t="shared" si="27"/>
        <v>4.1090892063505056</v>
      </c>
      <c r="E859" s="18"/>
      <c r="F859" s="18"/>
    </row>
    <row r="860" spans="2:6" x14ac:dyDescent="0.55000000000000004">
      <c r="B860" s="1">
        <v>848</v>
      </c>
      <c r="C860" s="6">
        <f t="shared" si="26"/>
        <v>24.034368304634413</v>
      </c>
      <c r="D860" s="6">
        <f t="shared" si="27"/>
        <v>16.442297290743308</v>
      </c>
      <c r="E860" s="18"/>
      <c r="F860" s="18"/>
    </row>
    <row r="861" spans="2:6" x14ac:dyDescent="0.55000000000000004">
      <c r="B861" s="1">
        <v>849</v>
      </c>
      <c r="C861" s="6">
        <f t="shared" si="26"/>
        <v>-6.618921509135288</v>
      </c>
      <c r="D861" s="6">
        <f t="shared" si="27"/>
        <v>-28.375867881985677</v>
      </c>
      <c r="E861" s="18"/>
      <c r="F861" s="18"/>
    </row>
    <row r="862" spans="2:6" x14ac:dyDescent="0.55000000000000004">
      <c r="B862" s="1">
        <v>850</v>
      </c>
      <c r="C862" s="6">
        <f t="shared" si="26"/>
        <v>-14.295950527814801</v>
      </c>
      <c r="D862" s="6">
        <f t="shared" si="27"/>
        <v>25.409167607504813</v>
      </c>
      <c r="E862" s="18"/>
      <c r="F862" s="18"/>
    </row>
    <row r="863" spans="2:6" x14ac:dyDescent="0.55000000000000004">
      <c r="B863" s="1">
        <v>851</v>
      </c>
      <c r="C863" s="6">
        <f t="shared" si="26"/>
        <v>27.721506991950505</v>
      </c>
      <c r="D863" s="6">
        <f t="shared" si="27"/>
        <v>-9.0839446329906295</v>
      </c>
      <c r="E863" s="18"/>
      <c r="F863" s="18"/>
    </row>
    <row r="864" spans="2:6" x14ac:dyDescent="0.55000000000000004">
      <c r="B864" s="1">
        <v>852</v>
      </c>
      <c r="C864" s="6">
        <f t="shared" si="26"/>
        <v>-26.592465642059427</v>
      </c>
      <c r="D864" s="6">
        <f t="shared" si="27"/>
        <v>-12.034981141484552</v>
      </c>
      <c r="E864" s="18"/>
      <c r="F864" s="18"/>
    </row>
    <row r="865" spans="2:6" x14ac:dyDescent="0.55000000000000004">
      <c r="B865" s="1">
        <v>853</v>
      </c>
      <c r="C865" s="6">
        <f t="shared" si="26"/>
        <v>11.485147206476064</v>
      </c>
      <c r="D865" s="6">
        <f t="shared" si="27"/>
        <v>26.853144948880292</v>
      </c>
      <c r="E865" s="18"/>
      <c r="F865" s="18"/>
    </row>
    <row r="866" spans="2:6" x14ac:dyDescent="0.55000000000000004">
      <c r="B866" s="1">
        <v>854</v>
      </c>
      <c r="C866" s="6">
        <f t="shared" si="26"/>
        <v>9.676460548949871</v>
      </c>
      <c r="D866" s="6">
        <f t="shared" si="27"/>
        <v>-27.57473683001556</v>
      </c>
      <c r="E866" s="18"/>
      <c r="F866" s="18"/>
    </row>
    <row r="867" spans="2:6" x14ac:dyDescent="0.55000000000000004">
      <c r="B867" s="1">
        <v>855</v>
      </c>
      <c r="C867" s="6">
        <f t="shared" si="26"/>
        <v>-25.77693935083958</v>
      </c>
      <c r="D867" s="6">
        <f t="shared" si="27"/>
        <v>13.803963115827926</v>
      </c>
      <c r="E867" s="18"/>
      <c r="F867" s="18"/>
    </row>
    <row r="868" spans="2:6" x14ac:dyDescent="0.55000000000000004">
      <c r="B868" s="1">
        <v>856</v>
      </c>
      <c r="C868" s="6">
        <f t="shared" si="26"/>
        <v>28.347976179976364</v>
      </c>
      <c r="D868" s="6">
        <f t="shared" si="27"/>
        <v>7.2382488558692568</v>
      </c>
      <c r="E868" s="18"/>
      <c r="F868" s="18"/>
    </row>
    <row r="869" spans="2:6" x14ac:dyDescent="0.55000000000000004">
      <c r="B869" s="1">
        <v>857</v>
      </c>
      <c r="C869" s="6">
        <f t="shared" si="26"/>
        <v>-16.022415139768317</v>
      </c>
      <c r="D869" s="6">
        <f t="shared" si="27"/>
        <v>-24.500657401158101</v>
      </c>
      <c r="E869" s="18"/>
      <c r="F869" s="18"/>
    </row>
    <row r="870" spans="2:6" x14ac:dyDescent="0.55000000000000004">
      <c r="B870" s="1">
        <v>858</v>
      </c>
      <c r="C870" s="6">
        <f t="shared" si="26"/>
        <v>-4.738859521263306</v>
      </c>
      <c r="D870" s="6">
        <f t="shared" si="27"/>
        <v>28.905764311599373</v>
      </c>
      <c r="E870" s="18"/>
      <c r="F870" s="18"/>
    </row>
    <row r="871" spans="2:6" x14ac:dyDescent="0.55000000000000004">
      <c r="B871" s="1">
        <v>859</v>
      </c>
      <c r="C871" s="6">
        <f t="shared" si="26"/>
        <v>23.033619999505834</v>
      </c>
      <c r="D871" s="6">
        <f t="shared" si="27"/>
        <v>-18.123254390930036</v>
      </c>
      <c r="E871" s="18"/>
      <c r="F871" s="18"/>
    </row>
    <row r="872" spans="2:6" x14ac:dyDescent="0.55000000000000004">
      <c r="B872" s="1">
        <v>860</v>
      </c>
      <c r="C872" s="6">
        <f t="shared" si="26"/>
        <v>-29.243320443908623</v>
      </c>
      <c r="D872" s="6">
        <f t="shared" si="27"/>
        <v>-2.1973186875999402</v>
      </c>
      <c r="E872" s="18"/>
      <c r="F872" s="18"/>
    </row>
    <row r="873" spans="2:6" x14ac:dyDescent="0.55000000000000004">
      <c r="B873" s="1">
        <v>861</v>
      </c>
      <c r="C873" s="6">
        <f t="shared" si="26"/>
        <v>20.090094482221609</v>
      </c>
      <c r="D873" s="6">
        <f t="shared" si="27"/>
        <v>21.386633762595942</v>
      </c>
      <c r="E873" s="18"/>
      <c r="F873" s="18"/>
    </row>
    <row r="874" spans="2:6" x14ac:dyDescent="0.55000000000000004">
      <c r="B874" s="1">
        <v>862</v>
      </c>
      <c r="C874" s="6">
        <f t="shared" si="26"/>
        <v>-0.36697975399925148</v>
      </c>
      <c r="D874" s="6">
        <f t="shared" si="27"/>
        <v>-29.357542912514912</v>
      </c>
      <c r="E874" s="18"/>
      <c r="F874" s="18"/>
    </row>
    <row r="875" spans="2:6" x14ac:dyDescent="0.55000000000000004">
      <c r="B875" s="1">
        <v>863</v>
      </c>
      <c r="C875" s="6">
        <f t="shared" si="26"/>
        <v>-19.571911469855582</v>
      </c>
      <c r="D875" s="6">
        <f t="shared" si="27"/>
        <v>21.907539373835107</v>
      </c>
      <c r="E875" s="18"/>
      <c r="F875" s="18"/>
    </row>
    <row r="876" spans="2:6" x14ac:dyDescent="0.55000000000000004">
      <c r="B876" s="1">
        <v>864</v>
      </c>
      <c r="C876" s="6">
        <f t="shared" si="26"/>
        <v>29.247036875648522</v>
      </c>
      <c r="D876" s="6">
        <f t="shared" si="27"/>
        <v>-2.9344222590581182</v>
      </c>
      <c r="E876" s="18"/>
      <c r="F876" s="18"/>
    </row>
    <row r="877" spans="2:6" x14ac:dyDescent="0.55000000000000004">
      <c r="B877" s="1">
        <v>865</v>
      </c>
      <c r="C877" s="6">
        <f t="shared" si="26"/>
        <v>-23.561303903619109</v>
      </c>
      <c r="D877" s="6">
        <f t="shared" si="27"/>
        <v>-17.602981519086555</v>
      </c>
      <c r="E877" s="18"/>
      <c r="F877" s="18"/>
    </row>
    <row r="878" spans="2:6" x14ac:dyDescent="0.55000000000000004">
      <c r="B878" s="1">
        <v>866</v>
      </c>
      <c r="C878" s="6">
        <f t="shared" si="26"/>
        <v>5.4853257532451289</v>
      </c>
      <c r="D878" s="6">
        <f t="shared" si="27"/>
        <v>28.91212896659092</v>
      </c>
      <c r="E878" s="18"/>
      <c r="F878" s="18"/>
    </row>
    <row r="879" spans="2:6" x14ac:dyDescent="0.55000000000000004">
      <c r="B879" s="1">
        <v>867</v>
      </c>
      <c r="C879" s="6">
        <f t="shared" si="26"/>
        <v>15.494587063678614</v>
      </c>
      <c r="D879" s="6">
        <f t="shared" si="27"/>
        <v>-25.038326056789089</v>
      </c>
      <c r="E879" s="18"/>
      <c r="F879" s="18"/>
    </row>
    <row r="880" spans="2:6" x14ac:dyDescent="0.55000000000000004">
      <c r="B880" s="1">
        <v>868</v>
      </c>
      <c r="C880" s="6">
        <f t="shared" si="26"/>
        <v>-28.354868750069322</v>
      </c>
      <c r="D880" s="6">
        <f t="shared" si="27"/>
        <v>8.0000886349053619</v>
      </c>
      <c r="E880" s="18"/>
      <c r="F880" s="18"/>
    </row>
    <row r="881" spans="2:6" x14ac:dyDescent="0.55000000000000004">
      <c r="B881" s="1">
        <v>869</v>
      </c>
      <c r="C881" s="6">
        <f t="shared" si="26"/>
        <v>26.326870093089855</v>
      </c>
      <c r="D881" s="6">
        <f t="shared" si="27"/>
        <v>13.26257558325573</v>
      </c>
      <c r="E881" s="18"/>
      <c r="F881" s="18"/>
    </row>
    <row r="882" spans="2:6" x14ac:dyDescent="0.55000000000000004">
      <c r="B882" s="1">
        <v>870</v>
      </c>
      <c r="C882" s="6">
        <f t="shared" si="26"/>
        <v>-10.459341496782006</v>
      </c>
      <c r="D882" s="6">
        <f t="shared" si="27"/>
        <v>-27.579016941393938</v>
      </c>
      <c r="E882" s="18"/>
      <c r="F882" s="18"/>
    </row>
    <row r="883" spans="2:6" x14ac:dyDescent="0.55000000000000004">
      <c r="B883" s="1">
        <v>871</v>
      </c>
      <c r="C883" s="6">
        <f t="shared" si="26"/>
        <v>-10.923779715218329</v>
      </c>
      <c r="D883" s="6">
        <f t="shared" si="27"/>
        <v>27.416619717488601</v>
      </c>
      <c r="E883" s="18"/>
      <c r="F883" s="18"/>
    </row>
    <row r="884" spans="2:6" x14ac:dyDescent="0.55000000000000004">
      <c r="B884" s="1">
        <v>872</v>
      </c>
      <c r="C884" s="6">
        <f t="shared" si="26"/>
        <v>26.590020448814034</v>
      </c>
      <c r="D884" s="6">
        <f t="shared" si="27"/>
        <v>-12.84409640775292</v>
      </c>
      <c r="E884" s="18"/>
      <c r="F884" s="18"/>
    </row>
    <row r="885" spans="2:6" x14ac:dyDescent="0.55000000000000004">
      <c r="B885" s="1">
        <v>873</v>
      </c>
      <c r="C885" s="6">
        <f t="shared" si="26"/>
        <v>-28.298760555227837</v>
      </c>
      <c r="D885" s="6">
        <f t="shared" si="27"/>
        <v>-8.4958902439874535</v>
      </c>
      <c r="E885" s="18"/>
      <c r="F885" s="18"/>
    </row>
    <row r="886" spans="2:6" x14ac:dyDescent="0.55000000000000004">
      <c r="B886" s="1">
        <v>874</v>
      </c>
      <c r="C886" s="6">
        <f t="shared" si="26"/>
        <v>15.135893602940021</v>
      </c>
      <c r="D886" s="6">
        <f t="shared" si="27"/>
        <v>25.394974401256622</v>
      </c>
      <c r="E886" s="18"/>
      <c r="F886" s="18"/>
    </row>
    <row r="887" spans="2:6" x14ac:dyDescent="0.55000000000000004">
      <c r="B887" s="1">
        <v>875</v>
      </c>
      <c r="C887" s="6">
        <f t="shared" si="26"/>
        <v>5.9973222064426439</v>
      </c>
      <c r="D887" s="6">
        <f t="shared" si="27"/>
        <v>-28.966051273035301</v>
      </c>
      <c r="E887" s="18"/>
      <c r="F887" s="18"/>
    </row>
    <row r="888" spans="2:6" x14ac:dyDescent="0.55000000000000004">
      <c r="B888" s="1">
        <v>876</v>
      </c>
      <c r="C888" s="6">
        <f t="shared" si="26"/>
        <v>-24.002571423848398</v>
      </c>
      <c r="D888" s="6">
        <f t="shared" si="27"/>
        <v>17.316944448806669</v>
      </c>
      <c r="E888" s="18"/>
      <c r="F888" s="18"/>
    </row>
    <row r="889" spans="2:6" x14ac:dyDescent="0.55000000000000004">
      <c r="B889" s="1">
        <v>877</v>
      </c>
      <c r="C889" s="6">
        <f t="shared" si="26"/>
        <v>29.412882773722401</v>
      </c>
      <c r="D889" s="6">
        <f t="shared" si="27"/>
        <v>3.4470751281722887</v>
      </c>
      <c r="E889" s="18"/>
      <c r="F889" s="18"/>
    </row>
    <row r="890" spans="2:6" x14ac:dyDescent="0.55000000000000004">
      <c r="B890" s="1">
        <v>878</v>
      </c>
      <c r="C890" s="6">
        <f t="shared" si="26"/>
        <v>-19.370269575025674</v>
      </c>
      <c r="D890" s="6">
        <f t="shared" si="27"/>
        <v>-22.423038522707724</v>
      </c>
      <c r="E890" s="18"/>
      <c r="F890" s="18"/>
    </row>
    <row r="891" spans="2:6" x14ac:dyDescent="0.55000000000000004">
      <c r="B891" s="1">
        <v>879</v>
      </c>
      <c r="C891" s="6">
        <f t="shared" si="26"/>
        <v>-0.86458845134967155</v>
      </c>
      <c r="D891" s="6">
        <f t="shared" si="27"/>
        <v>29.635324982354973</v>
      </c>
      <c r="E891" s="18"/>
      <c r="F891" s="18"/>
    </row>
    <row r="892" spans="2:6" x14ac:dyDescent="0.55000000000000004">
      <c r="B892" s="1">
        <v>880</v>
      </c>
      <c r="C892" s="6">
        <f t="shared" si="26"/>
        <v>20.668062036272541</v>
      </c>
      <c r="D892" s="6">
        <f t="shared" si="27"/>
        <v>-21.279831100476095</v>
      </c>
      <c r="E892" s="18"/>
      <c r="F892" s="18"/>
    </row>
    <row r="893" spans="2:6" x14ac:dyDescent="0.55000000000000004">
      <c r="B893" s="1">
        <v>881</v>
      </c>
      <c r="C893" s="6">
        <f t="shared" si="26"/>
        <v>-29.631160836173599</v>
      </c>
      <c r="D893" s="6">
        <f t="shared" si="27"/>
        <v>1.7304067443268323</v>
      </c>
      <c r="E893" s="18"/>
      <c r="F893" s="18"/>
    </row>
    <row r="894" spans="2:6" x14ac:dyDescent="0.55000000000000004">
      <c r="B894" s="1">
        <v>882</v>
      </c>
      <c r="C894" s="6">
        <f t="shared" si="26"/>
        <v>23.030657923311139</v>
      </c>
      <c r="D894" s="6">
        <f t="shared" si="27"/>
        <v>18.75070120340639</v>
      </c>
      <c r="E894" s="18"/>
      <c r="F894" s="18"/>
    </row>
    <row r="895" spans="2:6" x14ac:dyDescent="0.55000000000000004">
      <c r="B895" s="1">
        <v>883</v>
      </c>
      <c r="C895" s="6">
        <f t="shared" si="26"/>
        <v>-4.3180385963157386</v>
      </c>
      <c r="D895" s="6">
        <f t="shared" si="27"/>
        <v>-29.399907188301253</v>
      </c>
      <c r="E895" s="18"/>
      <c r="F895" s="18"/>
    </row>
    <row r="896" spans="2:6" x14ac:dyDescent="0.55000000000000004">
      <c r="B896" s="1">
        <v>884</v>
      </c>
      <c r="C896" s="6">
        <f t="shared" si="26"/>
        <v>-16.685290987545663</v>
      </c>
      <c r="D896" s="6">
        <f t="shared" si="27"/>
        <v>24.608963096012957</v>
      </c>
      <c r="E896" s="18"/>
      <c r="F896" s="18"/>
    </row>
    <row r="897" spans="2:6" x14ac:dyDescent="0.55000000000000004">
      <c r="B897" s="1">
        <v>885</v>
      </c>
      <c r="C897" s="6">
        <f t="shared" si="26"/>
        <v>28.942822435183825</v>
      </c>
      <c r="D897" s="6">
        <f t="shared" si="27"/>
        <v>-6.8784467349409573</v>
      </c>
      <c r="E897" s="18"/>
      <c r="F897" s="18"/>
    </row>
    <row r="898" spans="2:6" x14ac:dyDescent="0.55000000000000004">
      <c r="B898" s="1">
        <v>886</v>
      </c>
      <c r="C898" s="6">
        <f t="shared" si="26"/>
        <v>-26.002252365591051</v>
      </c>
      <c r="D898" s="6">
        <f t="shared" si="27"/>
        <v>-14.487334879684203</v>
      </c>
      <c r="E898" s="18"/>
      <c r="F898" s="18"/>
    </row>
    <row r="899" spans="2:6" x14ac:dyDescent="0.55000000000000004">
      <c r="B899" s="1">
        <v>887</v>
      </c>
      <c r="C899" s="6">
        <f t="shared" si="26"/>
        <v>9.3919348129834965</v>
      </c>
      <c r="D899" s="6">
        <f t="shared" si="27"/>
        <v>28.262900779443513</v>
      </c>
      <c r="E899" s="18"/>
      <c r="F899" s="18"/>
    </row>
    <row r="900" spans="2:6" x14ac:dyDescent="0.55000000000000004">
      <c r="B900" s="1">
        <v>888</v>
      </c>
      <c r="C900" s="6">
        <f t="shared" si="26"/>
        <v>12.173388482525267</v>
      </c>
      <c r="D900" s="6">
        <f t="shared" si="27"/>
        <v>-27.199423024276104</v>
      </c>
      <c r="E900" s="18"/>
      <c r="F900" s="18"/>
    </row>
    <row r="901" spans="2:6" x14ac:dyDescent="0.55000000000000004">
      <c r="B901" s="1">
        <v>889</v>
      </c>
      <c r="C901" s="6">
        <f t="shared" si="26"/>
        <v>-27.364853142523845</v>
      </c>
      <c r="D901" s="6">
        <f t="shared" si="27"/>
        <v>11.839122116445239</v>
      </c>
      <c r="E901" s="18"/>
      <c r="F901" s="18"/>
    </row>
    <row r="902" spans="2:6" x14ac:dyDescent="0.55000000000000004">
      <c r="B902" s="1">
        <v>890</v>
      </c>
      <c r="C902" s="6">
        <f t="shared" si="26"/>
        <v>28.190852289536672</v>
      </c>
      <c r="D902" s="6">
        <f t="shared" si="27"/>
        <v>9.7609347497831926</v>
      </c>
      <c r="E902" s="18"/>
      <c r="F902" s="18"/>
    </row>
    <row r="903" spans="2:6" x14ac:dyDescent="0.55000000000000004">
      <c r="B903" s="1">
        <v>891</v>
      </c>
      <c r="C903" s="6">
        <f t="shared" si="26"/>
        <v>-14.201093089192705</v>
      </c>
      <c r="D903" s="6">
        <f t="shared" si="27"/>
        <v>-26.255074844153146</v>
      </c>
      <c r="E903" s="18"/>
      <c r="F903" s="18"/>
    </row>
    <row r="904" spans="2:6" x14ac:dyDescent="0.55000000000000004">
      <c r="B904" s="1">
        <v>892</v>
      </c>
      <c r="C904" s="6">
        <f t="shared" si="26"/>
        <v>-7.2682518218330561</v>
      </c>
      <c r="D904" s="6">
        <f t="shared" si="27"/>
        <v>28.968474510308969</v>
      </c>
      <c r="E904" s="18"/>
      <c r="F904" s="18"/>
    </row>
    <row r="905" spans="2:6" x14ac:dyDescent="0.55000000000000004">
      <c r="B905" s="1">
        <v>893</v>
      </c>
      <c r="C905" s="6">
        <f t="shared" si="26"/>
        <v>24.941600267710012</v>
      </c>
      <c r="D905" s="6">
        <f t="shared" si="27"/>
        <v>-16.459543617177477</v>
      </c>
      <c r="E905" s="18"/>
      <c r="F905" s="18"/>
    </row>
    <row r="906" spans="2:6" x14ac:dyDescent="0.55000000000000004">
      <c r="B906" s="1">
        <v>894</v>
      </c>
      <c r="C906" s="6">
        <f t="shared" si="26"/>
        <v>-29.525846581333557</v>
      </c>
      <c r="D906" s="6">
        <f t="shared" si="27"/>
        <v>-4.7142744569608537</v>
      </c>
      <c r="E906" s="18"/>
      <c r="F906" s="18"/>
    </row>
    <row r="907" spans="2:6" x14ac:dyDescent="0.55000000000000004">
      <c r="B907" s="1">
        <v>895</v>
      </c>
      <c r="C907" s="6">
        <f t="shared" si="26"/>
        <v>18.596922940171272</v>
      </c>
      <c r="D907" s="6">
        <f t="shared" si="27"/>
        <v>23.434044831341676</v>
      </c>
      <c r="E907" s="18"/>
      <c r="F907" s="18"/>
    </row>
    <row r="908" spans="2:6" x14ac:dyDescent="0.55000000000000004">
      <c r="B908" s="1">
        <v>896</v>
      </c>
      <c r="C908" s="6">
        <f t="shared" si="26"/>
        <v>2.11845010979013</v>
      </c>
      <c r="D908" s="6">
        <f t="shared" si="27"/>
        <v>-29.858201036437713</v>
      </c>
      <c r="E908" s="18"/>
      <c r="F908" s="18"/>
    </row>
    <row r="909" spans="2:6" x14ac:dyDescent="0.55000000000000004">
      <c r="B909" s="1">
        <v>897</v>
      </c>
      <c r="C909" s="6">
        <f t="shared" ref="C909:C972" si="28">B909^$C$9*COS(2*PI()*B909/$C$8)</f>
        <v>-21.743534682740471</v>
      </c>
      <c r="D909" s="6">
        <f t="shared" ref="D909:D972" si="29">B909^$C$9*SIN(2*PI()*B909/$C$8)</f>
        <v>20.596570090684086</v>
      </c>
      <c r="E909" s="18"/>
      <c r="F909" s="18"/>
    </row>
    <row r="910" spans="2:6" x14ac:dyDescent="0.55000000000000004">
      <c r="B910" s="1">
        <v>898</v>
      </c>
      <c r="C910" s="6">
        <f t="shared" si="28"/>
        <v>29.962486385514822</v>
      </c>
      <c r="D910" s="6">
        <f t="shared" si="29"/>
        <v>-0.49940924885192722</v>
      </c>
      <c r="E910" s="18"/>
      <c r="F910" s="18"/>
    </row>
    <row r="911" spans="2:6" x14ac:dyDescent="0.55000000000000004">
      <c r="B911" s="1">
        <v>899</v>
      </c>
      <c r="C911" s="6">
        <f t="shared" si="28"/>
        <v>-22.44284379876294</v>
      </c>
      <c r="D911" s="6">
        <f t="shared" si="29"/>
        <v>-19.882624631178047</v>
      </c>
      <c r="E911" s="18"/>
      <c r="F911" s="18"/>
    </row>
    <row r="912" spans="2:6" x14ac:dyDescent="0.55000000000000004">
      <c r="B912" s="1">
        <v>900</v>
      </c>
      <c r="C912" s="6">
        <f t="shared" si="28"/>
        <v>3.1192784405806218</v>
      </c>
      <c r="D912" s="6">
        <f t="shared" si="29"/>
        <v>29.837394356916104</v>
      </c>
      <c r="E912" s="18"/>
      <c r="F912" s="18"/>
    </row>
    <row r="913" spans="2:6" x14ac:dyDescent="0.55000000000000004">
      <c r="B913" s="1">
        <v>901</v>
      </c>
      <c r="C913" s="6">
        <f t="shared" si="28"/>
        <v>17.865204921720064</v>
      </c>
      <c r="D913" s="6">
        <f t="shared" si="29"/>
        <v>-24.121244849819615</v>
      </c>
      <c r="E913" s="18"/>
      <c r="F913" s="18"/>
    </row>
    <row r="914" spans="2:6" x14ac:dyDescent="0.55000000000000004">
      <c r="B914" s="1">
        <v>902</v>
      </c>
      <c r="C914" s="6">
        <f t="shared" si="28"/>
        <v>-29.483373807102435</v>
      </c>
      <c r="D914" s="6">
        <f t="shared" si="29"/>
        <v>5.7210723602019007</v>
      </c>
      <c r="E914" s="18"/>
      <c r="F914" s="18"/>
    </row>
    <row r="915" spans="2:6" x14ac:dyDescent="0.55000000000000004">
      <c r="B915" s="1">
        <v>903</v>
      </c>
      <c r="C915" s="6">
        <f t="shared" si="28"/>
        <v>25.618529938161675</v>
      </c>
      <c r="D915" s="6">
        <f t="shared" si="29"/>
        <v>15.706397543915475</v>
      </c>
      <c r="E915" s="18"/>
      <c r="F915" s="18"/>
    </row>
    <row r="916" spans="2:6" x14ac:dyDescent="0.55000000000000004">
      <c r="B916" s="1">
        <v>904</v>
      </c>
      <c r="C916" s="6">
        <f t="shared" si="28"/>
        <v>-8.2848000549469525</v>
      </c>
      <c r="D916" s="6">
        <f t="shared" si="29"/>
        <v>-28.902631161358837</v>
      </c>
      <c r="E916" s="18"/>
      <c r="F916" s="18"/>
    </row>
    <row r="917" spans="2:6" x14ac:dyDescent="0.55000000000000004">
      <c r="B917" s="1">
        <v>905</v>
      </c>
      <c r="C917" s="6">
        <f t="shared" si="28"/>
        <v>-13.422442848979063</v>
      </c>
      <c r="D917" s="6">
        <f t="shared" si="29"/>
        <v>26.922816122498975</v>
      </c>
      <c r="E917" s="18"/>
      <c r="F917" s="18"/>
    </row>
    <row r="918" spans="2:6" x14ac:dyDescent="0.55000000000000004">
      <c r="B918" s="1">
        <v>906</v>
      </c>
      <c r="C918" s="6">
        <f t="shared" si="28"/>
        <v>28.099117352745008</v>
      </c>
      <c r="D918" s="6">
        <f t="shared" si="29"/>
        <v>-10.790718418931352</v>
      </c>
      <c r="E918" s="18"/>
      <c r="F918" s="18"/>
    </row>
    <row r="919" spans="2:6" x14ac:dyDescent="0.55000000000000004">
      <c r="B919" s="1">
        <v>907</v>
      </c>
      <c r="C919" s="6">
        <f t="shared" si="28"/>
        <v>-28.023675059691865</v>
      </c>
      <c r="D919" s="6">
        <f t="shared" si="29"/>
        <v>-11.030577326178539</v>
      </c>
      <c r="E919" s="18"/>
      <c r="F919" s="18"/>
    </row>
    <row r="920" spans="2:6" x14ac:dyDescent="0.55000000000000004">
      <c r="B920" s="1">
        <v>908</v>
      </c>
      <c r="C920" s="6">
        <f t="shared" si="28"/>
        <v>13.219484321008473</v>
      </c>
      <c r="D920" s="6">
        <f t="shared" si="29"/>
        <v>27.078501330144018</v>
      </c>
      <c r="E920" s="18"/>
      <c r="F920" s="18"/>
    </row>
    <row r="921" spans="2:6" x14ac:dyDescent="0.55000000000000004">
      <c r="B921" s="1">
        <v>909</v>
      </c>
      <c r="C921" s="6">
        <f t="shared" si="28"/>
        <v>8.5489034583734096</v>
      </c>
      <c r="D921" s="6">
        <f t="shared" si="29"/>
        <v>-28.912216270279441</v>
      </c>
      <c r="E921" s="18"/>
      <c r="F921" s="18"/>
    </row>
    <row r="922" spans="2:6" x14ac:dyDescent="0.55000000000000004">
      <c r="B922" s="1">
        <v>910</v>
      </c>
      <c r="C922" s="6">
        <f t="shared" si="28"/>
        <v>-25.848130309900679</v>
      </c>
      <c r="D922" s="6">
        <f t="shared" si="29"/>
        <v>15.552303992733481</v>
      </c>
      <c r="E922" s="18"/>
      <c r="F922" s="18"/>
    </row>
    <row r="923" spans="2:6" x14ac:dyDescent="0.55000000000000004">
      <c r="B923" s="1">
        <v>911</v>
      </c>
      <c r="C923" s="6">
        <f t="shared" si="28"/>
        <v>29.581158771692454</v>
      </c>
      <c r="D923" s="6">
        <f t="shared" si="29"/>
        <v>5.9962526401013765</v>
      </c>
      <c r="E923" s="18"/>
      <c r="F923" s="18"/>
    </row>
    <row r="924" spans="2:6" x14ac:dyDescent="0.55000000000000004">
      <c r="B924" s="1">
        <v>912</v>
      </c>
      <c r="C924" s="6">
        <f t="shared" si="28"/>
        <v>-17.771078522623817</v>
      </c>
      <c r="D924" s="6">
        <f t="shared" si="29"/>
        <v>-24.416977047594131</v>
      </c>
      <c r="E924" s="18"/>
      <c r="F924" s="18"/>
    </row>
    <row r="925" spans="2:6" x14ac:dyDescent="0.55000000000000004">
      <c r="B925" s="1">
        <v>913</v>
      </c>
      <c r="C925" s="6">
        <f t="shared" si="28"/>
        <v>-3.3920421969680956</v>
      </c>
      <c r="D925" s="6">
        <f t="shared" si="29"/>
        <v>30.02489050328057</v>
      </c>
      <c r="E925" s="18"/>
      <c r="F925" s="18"/>
    </row>
    <row r="926" spans="2:6" x14ac:dyDescent="0.55000000000000004">
      <c r="B926" s="1">
        <v>914</v>
      </c>
      <c r="C926" s="6">
        <f t="shared" si="28"/>
        <v>22.795574507372727</v>
      </c>
      <c r="D926" s="6">
        <f t="shared" si="29"/>
        <v>-19.858544329301143</v>
      </c>
      <c r="E926" s="18"/>
      <c r="F926" s="18"/>
    </row>
    <row r="927" spans="2:6" x14ac:dyDescent="0.55000000000000004">
      <c r="B927" s="1">
        <v>915</v>
      </c>
      <c r="C927" s="6">
        <f t="shared" si="28"/>
        <v>-30.239515060005434</v>
      </c>
      <c r="D927" s="6">
        <f t="shared" si="29"/>
        <v>-0.75612759221219406</v>
      </c>
      <c r="E927" s="18"/>
      <c r="F927" s="18"/>
    </row>
    <row r="928" spans="2:6" x14ac:dyDescent="0.55000000000000004">
      <c r="B928" s="1">
        <v>916</v>
      </c>
      <c r="C928" s="6">
        <f t="shared" si="28"/>
        <v>21.798407523494465</v>
      </c>
      <c r="D928" s="6">
        <f t="shared" si="29"/>
        <v>20.995938403406978</v>
      </c>
      <c r="E928" s="18"/>
      <c r="F928" s="18"/>
    </row>
    <row r="929" spans="2:6" x14ac:dyDescent="0.55000000000000004">
      <c r="B929" s="1">
        <v>917</v>
      </c>
      <c r="C929" s="6">
        <f t="shared" si="28"/>
        <v>-1.8913490533991622</v>
      </c>
      <c r="D929" s="6">
        <f t="shared" si="29"/>
        <v>-30.222885347997568</v>
      </c>
      <c r="E929" s="18"/>
      <c r="F929" s="18"/>
    </row>
    <row r="930" spans="2:6" x14ac:dyDescent="0.55000000000000004">
      <c r="B930" s="1">
        <v>918</v>
      </c>
      <c r="C930" s="6">
        <f t="shared" si="28"/>
        <v>-19.031478182987296</v>
      </c>
      <c r="D930" s="6">
        <f t="shared" si="29"/>
        <v>23.575471112376068</v>
      </c>
      <c r="E930" s="18"/>
      <c r="F930" s="18"/>
    </row>
    <row r="931" spans="2:6" x14ac:dyDescent="0.55000000000000004">
      <c r="B931" s="1">
        <v>919</v>
      </c>
      <c r="C931" s="6">
        <f t="shared" si="28"/>
        <v>29.974623875152865</v>
      </c>
      <c r="D931" s="6">
        <f t="shared" si="29"/>
        <v>-4.530112972445151</v>
      </c>
      <c r="E931" s="18"/>
      <c r="F931" s="18"/>
    </row>
    <row r="932" spans="2:6" x14ac:dyDescent="0.55000000000000004">
      <c r="B932" s="1">
        <v>920</v>
      </c>
      <c r="C932" s="6">
        <f t="shared" si="28"/>
        <v>-25.175754053453957</v>
      </c>
      <c r="D932" s="6">
        <f t="shared" si="29"/>
        <v>-16.916897110285824</v>
      </c>
      <c r="E932" s="18"/>
      <c r="F932" s="18"/>
    </row>
    <row r="933" spans="2:6" x14ac:dyDescent="0.55000000000000004">
      <c r="B933" s="1">
        <v>921</v>
      </c>
      <c r="C933" s="6">
        <f t="shared" si="28"/>
        <v>7.1399121137023585</v>
      </c>
      <c r="D933" s="6">
        <f t="shared" si="29"/>
        <v>29.496129491996172</v>
      </c>
      <c r="E933" s="18"/>
      <c r="F933" s="18"/>
    </row>
    <row r="934" spans="2:6" x14ac:dyDescent="0.55000000000000004">
      <c r="B934" s="1">
        <v>922</v>
      </c>
      <c r="C934" s="6">
        <f t="shared" si="28"/>
        <v>14.668082195480606</v>
      </c>
      <c r="D934" s="6">
        <f t="shared" si="29"/>
        <v>-26.586601225177784</v>
      </c>
      <c r="E934" s="18"/>
      <c r="F934" s="18"/>
    </row>
    <row r="935" spans="2:6" x14ac:dyDescent="0.55000000000000004">
      <c r="B935" s="1">
        <v>923</v>
      </c>
      <c r="C935" s="6">
        <f t="shared" si="28"/>
        <v>-28.79057050185753</v>
      </c>
      <c r="D935" s="6">
        <f t="shared" si="29"/>
        <v>9.7006726662418252</v>
      </c>
      <c r="E935" s="18"/>
      <c r="F935" s="18"/>
    </row>
    <row r="936" spans="2:6" x14ac:dyDescent="0.55000000000000004">
      <c r="B936" s="1">
        <v>924</v>
      </c>
      <c r="C936" s="6">
        <f t="shared" si="28"/>
        <v>27.796783449511523</v>
      </c>
      <c r="D936" s="6">
        <f t="shared" si="29"/>
        <v>12.301984793559217</v>
      </c>
      <c r="E936" s="18"/>
      <c r="F936" s="18"/>
    </row>
    <row r="937" spans="2:6" x14ac:dyDescent="0.55000000000000004">
      <c r="B937" s="1">
        <v>925</v>
      </c>
      <c r="C937" s="6">
        <f t="shared" si="28"/>
        <v>-12.192653549108472</v>
      </c>
      <c r="D937" s="6">
        <f t="shared" si="29"/>
        <v>-27.862864164177605</v>
      </c>
      <c r="E937" s="18"/>
      <c r="F937" s="18"/>
    </row>
    <row r="938" spans="2:6" x14ac:dyDescent="0.55000000000000004">
      <c r="B938" s="1">
        <v>926</v>
      </c>
      <c r="C938" s="6">
        <f t="shared" si="28"/>
        <v>-9.8364927701776015</v>
      </c>
      <c r="D938" s="6">
        <f t="shared" si="29"/>
        <v>28.79658677659982</v>
      </c>
      <c r="E938" s="18"/>
      <c r="F938" s="18"/>
    </row>
    <row r="939" spans="2:6" x14ac:dyDescent="0.55000000000000004">
      <c r="B939" s="1">
        <v>927</v>
      </c>
      <c r="C939" s="6">
        <f t="shared" si="28"/>
        <v>26.719642719225515</v>
      </c>
      <c r="D939" s="6">
        <f t="shared" si="29"/>
        <v>-14.596598677669363</v>
      </c>
      <c r="E939" s="18"/>
      <c r="F939" s="18"/>
    </row>
    <row r="940" spans="2:6" x14ac:dyDescent="0.55000000000000004">
      <c r="B940" s="1">
        <v>928</v>
      </c>
      <c r="C940" s="6">
        <f t="shared" si="28"/>
        <v>-29.577890322056614</v>
      </c>
      <c r="D940" s="6">
        <f t="shared" si="29"/>
        <v>-7.290295199536839</v>
      </c>
      <c r="E940" s="18"/>
      <c r="F940" s="18"/>
    </row>
    <row r="941" spans="2:6" x14ac:dyDescent="0.55000000000000004">
      <c r="B941" s="1">
        <v>929</v>
      </c>
      <c r="C941" s="6">
        <f t="shared" si="28"/>
        <v>16.893885830965999</v>
      </c>
      <c r="D941" s="6">
        <f t="shared" si="29"/>
        <v>25.369206166734628</v>
      </c>
      <c r="E941" s="18"/>
      <c r="F941" s="18"/>
    </row>
    <row r="942" spans="2:6" x14ac:dyDescent="0.55000000000000004">
      <c r="B942" s="1">
        <v>930</v>
      </c>
      <c r="C942" s="6">
        <f t="shared" si="28"/>
        <v>4.6827406177990198</v>
      </c>
      <c r="D942" s="6">
        <f t="shared" si="29"/>
        <v>-30.134232034455685</v>
      </c>
      <c r="E942" s="18"/>
      <c r="F942" s="18"/>
    </row>
    <row r="943" spans="2:6" x14ac:dyDescent="0.55000000000000004">
      <c r="B943" s="1">
        <v>931</v>
      </c>
      <c r="C943" s="6">
        <f t="shared" si="28"/>
        <v>-23.821462133005543</v>
      </c>
      <c r="D943" s="6">
        <f t="shared" si="29"/>
        <v>19.066670969148838</v>
      </c>
      <c r="E943" s="18"/>
      <c r="F943" s="18"/>
    </row>
    <row r="944" spans="2:6" x14ac:dyDescent="0.55000000000000004">
      <c r="B944" s="1">
        <v>932</v>
      </c>
      <c r="C944" s="6">
        <f t="shared" si="28"/>
        <v>30.460861861697364</v>
      </c>
      <c r="D944" s="6">
        <f t="shared" si="29"/>
        <v>2.0336899081696127</v>
      </c>
      <c r="E944" s="18"/>
      <c r="F944" s="18"/>
    </row>
    <row r="945" spans="2:6" x14ac:dyDescent="0.55000000000000004">
      <c r="B945" s="1">
        <v>933</v>
      </c>
      <c r="C945" s="6">
        <f t="shared" si="28"/>
        <v>-21.098026881891744</v>
      </c>
      <c r="D945" s="6">
        <f t="shared" si="29"/>
        <v>-22.087853261260435</v>
      </c>
      <c r="E945" s="18"/>
      <c r="F945" s="18"/>
    </row>
    <row r="946" spans="2:6" x14ac:dyDescent="0.55000000000000004">
      <c r="B946" s="1">
        <v>934</v>
      </c>
      <c r="C946" s="6">
        <f t="shared" si="28"/>
        <v>0.63663506361044897</v>
      </c>
      <c r="D946" s="6">
        <f t="shared" si="29"/>
        <v>30.554781881004843</v>
      </c>
      <c r="E946" s="18"/>
      <c r="F946" s="18"/>
    </row>
    <row r="947" spans="2:6" x14ac:dyDescent="0.55000000000000004">
      <c r="B947" s="1">
        <v>935</v>
      </c>
      <c r="C947" s="6">
        <f t="shared" si="28"/>
        <v>20.181272656900251</v>
      </c>
      <c r="D947" s="6">
        <f t="shared" si="29"/>
        <v>-22.972075090157841</v>
      </c>
      <c r="E947" s="18"/>
      <c r="F947" s="18"/>
    </row>
    <row r="948" spans="2:6" x14ac:dyDescent="0.55000000000000004">
      <c r="B948" s="1">
        <v>936</v>
      </c>
      <c r="C948" s="6">
        <f t="shared" si="28"/>
        <v>-30.414773056396278</v>
      </c>
      <c r="D948" s="6">
        <f t="shared" si="29"/>
        <v>3.3078059084400753</v>
      </c>
      <c r="E948" s="18"/>
      <c r="F948" s="18"/>
    </row>
    <row r="949" spans="2:6" x14ac:dyDescent="0.55000000000000004">
      <c r="B949" s="1">
        <v>937</v>
      </c>
      <c r="C949" s="6">
        <f t="shared" si="28"/>
        <v>24.674109973636394</v>
      </c>
      <c r="D949" s="6">
        <f t="shared" si="29"/>
        <v>18.115968011919673</v>
      </c>
      <c r="E949" s="18"/>
      <c r="F949" s="18"/>
    </row>
    <row r="950" spans="2:6" x14ac:dyDescent="0.55000000000000004">
      <c r="B950" s="1">
        <v>938</v>
      </c>
      <c r="C950" s="6">
        <f t="shared" si="28"/>
        <v>-5.9593440879048272</v>
      </c>
      <c r="D950" s="6">
        <f t="shared" si="29"/>
        <v>-30.04140838978682</v>
      </c>
      <c r="E950" s="18"/>
      <c r="F950" s="18"/>
    </row>
    <row r="951" spans="2:6" x14ac:dyDescent="0.55000000000000004">
      <c r="B951" s="1">
        <v>939</v>
      </c>
      <c r="C951" s="6">
        <f t="shared" si="28"/>
        <v>-15.907435121742488</v>
      </c>
      <c r="D951" s="6">
        <f t="shared" si="29"/>
        <v>26.190714153064892</v>
      </c>
      <c r="E951" s="18"/>
      <c r="F951" s="18"/>
    </row>
    <row r="952" spans="2:6" x14ac:dyDescent="0.55000000000000004">
      <c r="B952" s="1">
        <v>940</v>
      </c>
      <c r="C952" s="6">
        <f t="shared" si="28"/>
        <v>29.437052335894528</v>
      </c>
      <c r="D952" s="6">
        <f t="shared" si="29"/>
        <v>-8.57087800483745</v>
      </c>
      <c r="E952" s="18"/>
      <c r="F952" s="18"/>
    </row>
    <row r="953" spans="2:6" x14ac:dyDescent="0.55000000000000004">
      <c r="B953" s="1">
        <v>941</v>
      </c>
      <c r="C953" s="6">
        <f t="shared" si="28"/>
        <v>-27.509864222637788</v>
      </c>
      <c r="D953" s="6">
        <f t="shared" si="29"/>
        <v>-13.572301590077979</v>
      </c>
      <c r="E953" s="18"/>
      <c r="F953" s="18"/>
    </row>
    <row r="954" spans="2:6" x14ac:dyDescent="0.55000000000000004">
      <c r="B954" s="1">
        <v>942</v>
      </c>
      <c r="C954" s="6">
        <f t="shared" si="28"/>
        <v>11.122299605172755</v>
      </c>
      <c r="D954" s="6">
        <f t="shared" si="29"/>
        <v>28.605846456498611</v>
      </c>
      <c r="E954" s="18"/>
      <c r="F954" s="18"/>
    </row>
    <row r="955" spans="2:6" x14ac:dyDescent="0.55000000000000004">
      <c r="B955" s="1">
        <v>943</v>
      </c>
      <c r="C955" s="6">
        <f t="shared" si="28"/>
        <v>11.128201595221688</v>
      </c>
      <c r="D955" s="6">
        <f t="shared" si="29"/>
        <v>-28.621025999361127</v>
      </c>
      <c r="E955" s="18"/>
      <c r="F955" s="18"/>
    </row>
    <row r="956" spans="2:6" x14ac:dyDescent="0.55000000000000004">
      <c r="B956" s="1">
        <v>944</v>
      </c>
      <c r="C956" s="6">
        <f t="shared" si="28"/>
        <v>-27.553681395396573</v>
      </c>
      <c r="D956" s="6">
        <f t="shared" si="29"/>
        <v>13.593919286246209</v>
      </c>
      <c r="E956" s="18"/>
      <c r="F956" s="18"/>
    </row>
    <row r="957" spans="2:6" x14ac:dyDescent="0.55000000000000004">
      <c r="B957" s="1">
        <v>945</v>
      </c>
      <c r="C957" s="6">
        <f t="shared" si="28"/>
        <v>29.515238535611694</v>
      </c>
      <c r="D957" s="6">
        <f t="shared" si="29"/>
        <v>8.5936426610572241</v>
      </c>
      <c r="E957" s="18"/>
      <c r="F957" s="18"/>
    </row>
    <row r="958" spans="2:6" x14ac:dyDescent="0.55000000000000004">
      <c r="B958" s="1">
        <v>946</v>
      </c>
      <c r="C958" s="6">
        <f t="shared" si="28"/>
        <v>-15.966617917687083</v>
      </c>
      <c r="D958" s="6">
        <f t="shared" si="29"/>
        <v>-26.288155360743627</v>
      </c>
      <c r="E958" s="18"/>
      <c r="F958" s="18"/>
    </row>
    <row r="959" spans="2:6" x14ac:dyDescent="0.55000000000000004">
      <c r="B959" s="1">
        <v>947</v>
      </c>
      <c r="C959" s="6">
        <f t="shared" si="28"/>
        <v>-5.9878654402267033</v>
      </c>
      <c r="D959" s="6">
        <f t="shared" si="29"/>
        <v>30.185186225526895</v>
      </c>
      <c r="E959" s="18"/>
      <c r="F959" s="18"/>
    </row>
    <row r="960" spans="2:6" x14ac:dyDescent="0.55000000000000004">
      <c r="B960" s="1">
        <v>948</v>
      </c>
      <c r="C960" s="6">
        <f t="shared" si="28"/>
        <v>24.818519405446011</v>
      </c>
      <c r="D960" s="6">
        <f t="shared" si="29"/>
        <v>-18.221994800830664</v>
      </c>
      <c r="E960" s="18"/>
      <c r="F960" s="18"/>
    </row>
    <row r="961" spans="2:6" x14ac:dyDescent="0.55000000000000004">
      <c r="B961" s="1">
        <v>949</v>
      </c>
      <c r="C961" s="6">
        <f t="shared" si="28"/>
        <v>-30.625258426415499</v>
      </c>
      <c r="D961" s="6">
        <f t="shared" si="29"/>
        <v>-3.330697571870866</v>
      </c>
      <c r="E961" s="18"/>
      <c r="F961" s="18"/>
    </row>
    <row r="962" spans="2:6" x14ac:dyDescent="0.55000000000000004">
      <c r="B962" s="1">
        <v>950</v>
      </c>
      <c r="C962" s="6">
        <f t="shared" si="28"/>
        <v>20.342510420679243</v>
      </c>
      <c r="D962" s="6">
        <f t="shared" si="29"/>
        <v>23.155609898781687</v>
      </c>
      <c r="E962" s="18"/>
      <c r="F962" s="18"/>
    </row>
    <row r="963" spans="2:6" x14ac:dyDescent="0.55000000000000004">
      <c r="B963" s="1">
        <v>951</v>
      </c>
      <c r="C963" s="6">
        <f t="shared" si="28"/>
        <v>0.64240272521616792</v>
      </c>
      <c r="D963" s="6">
        <f t="shared" si="29"/>
        <v>-30.831596110786009</v>
      </c>
      <c r="E963" s="18"/>
      <c r="F963" s="18"/>
    </row>
    <row r="964" spans="2:6" x14ac:dyDescent="0.55000000000000004">
      <c r="B964" s="1">
        <v>952</v>
      </c>
      <c r="C964" s="6">
        <f t="shared" si="28"/>
        <v>-21.311768681109648</v>
      </c>
      <c r="D964" s="6">
        <f t="shared" si="29"/>
        <v>22.311622883216582</v>
      </c>
      <c r="E964" s="18"/>
      <c r="F964" s="18"/>
    </row>
    <row r="965" spans="2:6" x14ac:dyDescent="0.55000000000000004">
      <c r="B965" s="1">
        <v>953</v>
      </c>
      <c r="C965" s="6">
        <f t="shared" si="28"/>
        <v>30.802125163663984</v>
      </c>
      <c r="D965" s="6">
        <f t="shared" si="29"/>
        <v>-2.0564740217124085</v>
      </c>
      <c r="E965" s="18"/>
      <c r="F965" s="18"/>
    </row>
    <row r="966" spans="2:6" x14ac:dyDescent="0.55000000000000004">
      <c r="B966" s="1">
        <v>954</v>
      </c>
      <c r="C966" s="6">
        <f t="shared" si="28"/>
        <v>-24.113916975964877</v>
      </c>
      <c r="D966" s="6">
        <f t="shared" si="29"/>
        <v>-19.300751489936165</v>
      </c>
      <c r="E966" s="18"/>
      <c r="F966" s="18"/>
    </row>
    <row r="967" spans="2:6" x14ac:dyDescent="0.55000000000000004">
      <c r="B967" s="1">
        <v>955</v>
      </c>
      <c r="C967" s="6">
        <f t="shared" si="28"/>
        <v>4.7452632871875808</v>
      </c>
      <c r="D967" s="6">
        <f t="shared" si="29"/>
        <v>30.536576041450189</v>
      </c>
      <c r="E967" s="18"/>
      <c r="F967" s="18"/>
    </row>
    <row r="968" spans="2:6" x14ac:dyDescent="0.55000000000000004">
      <c r="B968" s="1">
        <v>956</v>
      </c>
      <c r="C968" s="6">
        <f t="shared" si="28"/>
        <v>17.137625336332313</v>
      </c>
      <c r="D968" s="6">
        <f t="shared" si="29"/>
        <v>-25.735224845170887</v>
      </c>
      <c r="E968" s="18"/>
      <c r="F968" s="18"/>
    </row>
    <row r="969" spans="2:6" x14ac:dyDescent="0.55000000000000004">
      <c r="B969" s="1">
        <v>957</v>
      </c>
      <c r="C969" s="6">
        <f t="shared" si="28"/>
        <v>-30.036489613046324</v>
      </c>
      <c r="D969" s="6">
        <f t="shared" si="29"/>
        <v>7.4033297728360123</v>
      </c>
      <c r="E969" s="18"/>
      <c r="F969" s="18"/>
    </row>
    <row r="970" spans="2:6" x14ac:dyDescent="0.55000000000000004">
      <c r="B970" s="1">
        <v>958</v>
      </c>
      <c r="C970" s="6">
        <f t="shared" si="28"/>
        <v>27.162737344624833</v>
      </c>
      <c r="D970" s="6">
        <f t="shared" si="29"/>
        <v>14.838655597692243</v>
      </c>
      <c r="E970" s="18"/>
      <c r="F970" s="18"/>
    </row>
    <row r="971" spans="2:6" x14ac:dyDescent="0.55000000000000004">
      <c r="B971" s="1">
        <v>959</v>
      </c>
      <c r="C971" s="6">
        <f t="shared" si="28"/>
        <v>-10.010230718479884</v>
      </c>
      <c r="D971" s="6">
        <f t="shared" si="29"/>
        <v>-29.305209109692456</v>
      </c>
      <c r="E971" s="18"/>
      <c r="F971" s="18"/>
    </row>
    <row r="972" spans="2:6" x14ac:dyDescent="0.55000000000000004">
      <c r="B972" s="1">
        <v>960</v>
      </c>
      <c r="C972" s="6">
        <f t="shared" si="28"/>
        <v>-12.421183672722384</v>
      </c>
      <c r="D972" s="6">
        <f t="shared" si="29"/>
        <v>28.385105181564764</v>
      </c>
      <c r="E972" s="18"/>
      <c r="F972" s="18"/>
    </row>
    <row r="973" spans="2:6" x14ac:dyDescent="0.55000000000000004">
      <c r="B973" s="1">
        <v>961</v>
      </c>
      <c r="C973" s="6">
        <f t="shared" ref="C973:C1012" si="30">B973^$C$9*COS(2*PI()*B973/$C$8)</f>
        <v>28.347858216778405</v>
      </c>
      <c r="D973" s="6">
        <f t="shared" ref="D973:D1012" si="31">B973^$C$9*SIN(2*PI()*B973/$C$8)</f>
        <v>-12.545873206813033</v>
      </c>
      <c r="E973" s="18"/>
      <c r="F973" s="18"/>
    </row>
    <row r="974" spans="2:6" x14ac:dyDescent="0.55000000000000004">
      <c r="B974" s="1">
        <v>962</v>
      </c>
      <c r="C974" s="6">
        <f t="shared" si="30"/>
        <v>-29.392529061058646</v>
      </c>
      <c r="D974" s="6">
        <f t="shared" si="31"/>
        <v>-9.9034961197964329</v>
      </c>
      <c r="E974" s="18"/>
      <c r="F974" s="18"/>
    </row>
    <row r="975" spans="2:6" x14ac:dyDescent="0.55000000000000004">
      <c r="B975" s="1">
        <v>963</v>
      </c>
      <c r="C975" s="6">
        <f t="shared" si="30"/>
        <v>14.990669107557457</v>
      </c>
      <c r="D975" s="6">
        <f t="shared" si="31"/>
        <v>27.171305447249352</v>
      </c>
      <c r="E975" s="18"/>
      <c r="F975" s="18"/>
    </row>
    <row r="976" spans="2:6" x14ac:dyDescent="0.55000000000000004">
      <c r="B976" s="1">
        <v>964</v>
      </c>
      <c r="C976" s="6">
        <f t="shared" si="30"/>
        <v>7.3046862660200844</v>
      </c>
      <c r="D976" s="6">
        <f t="shared" si="31"/>
        <v>-30.176838113941255</v>
      </c>
      <c r="E976" s="18"/>
      <c r="F976" s="18"/>
    </row>
    <row r="977" spans="2:6" x14ac:dyDescent="0.55000000000000004">
      <c r="B977" s="1">
        <v>965</v>
      </c>
      <c r="C977" s="6">
        <f t="shared" si="30"/>
        <v>-25.784115042283901</v>
      </c>
      <c r="D977" s="6">
        <f t="shared" si="31"/>
        <v>17.32568646508037</v>
      </c>
      <c r="E977" s="18"/>
      <c r="F977" s="18"/>
    </row>
    <row r="978" spans="2:6" x14ac:dyDescent="0.55000000000000004">
      <c r="B978" s="1">
        <v>966</v>
      </c>
      <c r="C978" s="6">
        <f t="shared" si="30"/>
        <v>30.731555981334555</v>
      </c>
      <c r="D978" s="6">
        <f t="shared" si="31"/>
        <v>4.644509335344293</v>
      </c>
      <c r="E978" s="18"/>
      <c r="F978" s="18"/>
    </row>
    <row r="979" spans="2:6" x14ac:dyDescent="0.55000000000000004">
      <c r="B979" s="1">
        <v>967</v>
      </c>
      <c r="C979" s="6">
        <f t="shared" si="30"/>
        <v>-19.532796159486928</v>
      </c>
      <c r="D979" s="6">
        <f t="shared" si="31"/>
        <v>-24.196484748655799</v>
      </c>
      <c r="E979" s="18"/>
      <c r="F979" s="18"/>
    </row>
    <row r="980" spans="2:6" x14ac:dyDescent="0.55000000000000004">
      <c r="B980" s="1">
        <v>968</v>
      </c>
      <c r="C980" s="6">
        <f t="shared" si="30"/>
        <v>-1.943232195370215</v>
      </c>
      <c r="D980" s="6">
        <f t="shared" si="31"/>
        <v>31.051954022812744</v>
      </c>
      <c r="E980" s="18"/>
      <c r="F980" s="18"/>
    </row>
    <row r="981" spans="2:6" x14ac:dyDescent="0.55000000000000004">
      <c r="B981" s="1">
        <v>969</v>
      </c>
      <c r="C981" s="6">
        <f t="shared" si="30"/>
        <v>22.420170924176166</v>
      </c>
      <c r="D981" s="6">
        <f t="shared" si="31"/>
        <v>-21.594812704228893</v>
      </c>
      <c r="E981" s="18"/>
      <c r="F981" s="18"/>
    </row>
    <row r="982" spans="2:6" x14ac:dyDescent="0.55000000000000004">
      <c r="B982" s="1">
        <v>970</v>
      </c>
      <c r="C982" s="6">
        <f t="shared" si="30"/>
        <v>-31.135091213034688</v>
      </c>
      <c r="D982" s="6">
        <f t="shared" si="31"/>
        <v>0.77852113395209332</v>
      </c>
      <c r="E982" s="18"/>
      <c r="F982" s="18"/>
    </row>
    <row r="983" spans="2:6" x14ac:dyDescent="0.55000000000000004">
      <c r="B983" s="1">
        <v>971</v>
      </c>
      <c r="C983" s="6">
        <f t="shared" si="30"/>
        <v>23.495628086892044</v>
      </c>
      <c r="D983" s="6">
        <f t="shared" si="31"/>
        <v>20.468401520452197</v>
      </c>
      <c r="E983" s="18"/>
      <c r="F983" s="18"/>
    </row>
    <row r="984" spans="2:6" x14ac:dyDescent="0.55000000000000004">
      <c r="B984" s="1">
        <v>972</v>
      </c>
      <c r="C984" s="6">
        <f t="shared" si="30"/>
        <v>-3.4999270308447881</v>
      </c>
      <c r="D984" s="6">
        <f t="shared" si="31"/>
        <v>-30.979840393048541</v>
      </c>
      <c r="E984" s="18"/>
      <c r="F984" s="18"/>
    </row>
    <row r="985" spans="2:6" x14ac:dyDescent="0.55000000000000004">
      <c r="B985" s="1">
        <v>973</v>
      </c>
      <c r="C985" s="6">
        <f t="shared" si="30"/>
        <v>-18.355777587118308</v>
      </c>
      <c r="D985" s="6">
        <f t="shared" si="31"/>
        <v>25.220337610195568</v>
      </c>
      <c r="E985" s="18"/>
      <c r="F985" s="18"/>
    </row>
    <row r="986" spans="2:6" x14ac:dyDescent="0.55000000000000004">
      <c r="B986" s="1">
        <v>974</v>
      </c>
      <c r="C986" s="6">
        <f t="shared" si="30"/>
        <v>30.586900646827914</v>
      </c>
      <c r="D986" s="6">
        <f t="shared" si="31"/>
        <v>-6.2001216779252131</v>
      </c>
      <c r="E986" s="18"/>
      <c r="F986" s="18"/>
    </row>
    <row r="987" spans="2:6" x14ac:dyDescent="0.55000000000000004">
      <c r="B987" s="1">
        <v>975</v>
      </c>
      <c r="C987" s="6">
        <f t="shared" si="30"/>
        <v>-26.755356750418184</v>
      </c>
      <c r="D987" s="6">
        <f t="shared" si="31"/>
        <v>-16.098164030654299</v>
      </c>
      <c r="E987" s="18"/>
      <c r="F987" s="18"/>
    </row>
    <row r="988" spans="2:6" x14ac:dyDescent="0.55000000000000004">
      <c r="B988" s="1">
        <v>976</v>
      </c>
      <c r="C988" s="6">
        <f t="shared" si="30"/>
        <v>8.858361102537069</v>
      </c>
      <c r="D988" s="6">
        <f t="shared" si="31"/>
        <v>29.958795679684091</v>
      </c>
      <c r="E988" s="18"/>
      <c r="F988" s="18"/>
    </row>
    <row r="989" spans="2:6" x14ac:dyDescent="0.55000000000000004">
      <c r="B989" s="1">
        <v>977</v>
      </c>
      <c r="C989" s="6">
        <f t="shared" si="30"/>
        <v>13.712570445240402</v>
      </c>
      <c r="D989" s="6">
        <f t="shared" si="31"/>
        <v>-28.088528117085801</v>
      </c>
      <c r="E989" s="18"/>
      <c r="F989" s="18"/>
    </row>
    <row r="990" spans="2:6" x14ac:dyDescent="0.55000000000000004">
      <c r="B990" s="1">
        <v>978</v>
      </c>
      <c r="C990" s="6">
        <f t="shared" si="30"/>
        <v>-29.099858182565828</v>
      </c>
      <c r="D990" s="6">
        <f t="shared" si="31"/>
        <v>11.454180623447343</v>
      </c>
      <c r="E990" s="18"/>
      <c r="F990" s="18"/>
    </row>
    <row r="991" spans="2:6" x14ac:dyDescent="0.55000000000000004">
      <c r="B991" s="1">
        <v>979</v>
      </c>
      <c r="C991" s="6">
        <f t="shared" si="30"/>
        <v>29.209217671952828</v>
      </c>
      <c r="D991" s="6">
        <f t="shared" si="31"/>
        <v>11.217022911293284</v>
      </c>
      <c r="E991" s="18"/>
      <c r="F991" s="18"/>
    </row>
    <row r="992" spans="2:6" x14ac:dyDescent="0.55000000000000004">
      <c r="B992" s="1">
        <v>980</v>
      </c>
      <c r="C992" s="6">
        <f t="shared" si="30"/>
        <v>-13.967552477262421</v>
      </c>
      <c r="D992" s="6">
        <f t="shared" si="31"/>
        <v>-28.016200274036457</v>
      </c>
      <c r="E992" s="18"/>
      <c r="F992" s="18"/>
    </row>
    <row r="993" spans="2:6" x14ac:dyDescent="0.55000000000000004">
      <c r="B993" s="1">
        <v>981</v>
      </c>
      <c r="C993" s="6">
        <f t="shared" si="30"/>
        <v>-8.6304277279797326</v>
      </c>
      <c r="D993" s="6">
        <f t="shared" si="31"/>
        <v>30.108399446535156</v>
      </c>
      <c r="E993" s="18"/>
      <c r="F993" s="18"/>
    </row>
    <row r="994" spans="2:6" x14ac:dyDescent="0.55000000000000004">
      <c r="B994" s="1">
        <v>982</v>
      </c>
      <c r="C994" s="6">
        <f t="shared" si="30"/>
        <v>26.715670218756273</v>
      </c>
      <c r="D994" s="6">
        <f t="shared" si="31"/>
        <v>-16.379040410312783</v>
      </c>
      <c r="E994" s="18"/>
      <c r="F994" s="18"/>
    </row>
    <row r="995" spans="2:6" x14ac:dyDescent="0.55000000000000004">
      <c r="B995" s="1">
        <v>983</v>
      </c>
      <c r="C995" s="6">
        <f t="shared" si="30"/>
        <v>-30.778728083916121</v>
      </c>
      <c r="D995" s="6">
        <f t="shared" si="31"/>
        <v>-5.9724281106056898</v>
      </c>
      <c r="E995" s="18"/>
      <c r="F995" s="18"/>
    </row>
    <row r="996" spans="2:6" x14ac:dyDescent="0.55000000000000004">
      <c r="B996" s="1">
        <v>984</v>
      </c>
      <c r="C996" s="6">
        <f t="shared" si="30"/>
        <v>18.669950041960572</v>
      </c>
      <c r="D996" s="6">
        <f t="shared" si="31"/>
        <v>25.207795727328016</v>
      </c>
      <c r="E996" s="18"/>
      <c r="F996" s="18"/>
    </row>
    <row r="997" spans="2:6" x14ac:dyDescent="0.55000000000000004">
      <c r="B997" s="1">
        <v>985</v>
      </c>
      <c r="C997" s="6">
        <f t="shared" si="30"/>
        <v>3.2632549393962567</v>
      </c>
      <c r="D997" s="6">
        <f t="shared" si="31"/>
        <v>-31.214598623088296</v>
      </c>
      <c r="E997" s="18"/>
      <c r="F997" s="18"/>
    </row>
    <row r="998" spans="2:6" x14ac:dyDescent="0.55000000000000004">
      <c r="B998" s="1">
        <v>986</v>
      </c>
      <c r="C998" s="6">
        <f t="shared" si="30"/>
        <v>-23.50371424615177</v>
      </c>
      <c r="D998" s="6">
        <f t="shared" si="31"/>
        <v>20.82247383562391</v>
      </c>
      <c r="E998" s="18"/>
      <c r="F998" s="18"/>
    </row>
    <row r="999" spans="2:6" x14ac:dyDescent="0.55000000000000004">
      <c r="B999" s="1">
        <v>987</v>
      </c>
      <c r="C999" s="6">
        <f t="shared" si="30"/>
        <v>31.412193040818188</v>
      </c>
      <c r="D999" s="6">
        <f t="shared" si="31"/>
        <v>0.52357269444977483</v>
      </c>
      <c r="E999" s="18"/>
      <c r="F999" s="18"/>
    </row>
    <row r="1000" spans="2:6" x14ac:dyDescent="0.55000000000000004">
      <c r="B1000" s="1">
        <v>988</v>
      </c>
      <c r="C1000" s="6">
        <f t="shared" si="30"/>
        <v>-22.81982955332148</v>
      </c>
      <c r="D1000" s="6">
        <f t="shared" si="31"/>
        <v>-21.616090746417488</v>
      </c>
      <c r="E1000" s="18"/>
      <c r="F1000" s="18"/>
    </row>
    <row r="1001" spans="2:6" x14ac:dyDescent="0.55000000000000004">
      <c r="B1001" s="1">
        <v>989</v>
      </c>
      <c r="C1001" s="6">
        <f t="shared" si="30"/>
        <v>2.2256782494805192</v>
      </c>
      <c r="D1001" s="6">
        <f t="shared" si="31"/>
        <v>31.369513166923536</v>
      </c>
      <c r="E1001" s="18"/>
      <c r="F1001" s="18"/>
    </row>
    <row r="1002" spans="2:6" x14ac:dyDescent="0.55000000000000004">
      <c r="B1002" s="1">
        <v>990</v>
      </c>
      <c r="C1002" s="6">
        <f t="shared" si="30"/>
        <v>19.559023619025531</v>
      </c>
      <c r="D1002" s="6">
        <f t="shared" si="31"/>
        <v>-24.646391116559062</v>
      </c>
      <c r="E1002" s="18"/>
      <c r="F1002" s="18"/>
    </row>
    <row r="1003" spans="2:6" x14ac:dyDescent="0.55000000000000004">
      <c r="B1003" s="1">
        <v>991</v>
      </c>
      <c r="C1003" s="6">
        <f t="shared" si="30"/>
        <v>-31.086399692749623</v>
      </c>
      <c r="D1003" s="6">
        <f t="shared" si="31"/>
        <v>4.9634417637981896</v>
      </c>
      <c r="E1003" s="18"/>
      <c r="F1003" s="18"/>
    </row>
    <row r="1004" spans="2:6" x14ac:dyDescent="0.55000000000000004">
      <c r="B1004" s="1">
        <v>992</v>
      </c>
      <c r="C1004" s="6">
        <f t="shared" si="30"/>
        <v>26.287810853483947</v>
      </c>
      <c r="D1004" s="6">
        <f t="shared" si="31"/>
        <v>17.347939374215361</v>
      </c>
      <c r="E1004" s="18"/>
      <c r="F1004" s="18"/>
    </row>
    <row r="1005" spans="2:6" x14ac:dyDescent="0.55000000000000004">
      <c r="B1005" s="1">
        <v>993</v>
      </c>
      <c r="C1005" s="6">
        <f t="shared" si="30"/>
        <v>-7.6687073175513749</v>
      </c>
      <c r="D1005" s="6">
        <f t="shared" si="31"/>
        <v>-30.564537099025955</v>
      </c>
      <c r="E1005" s="18"/>
      <c r="F1005" s="18"/>
    </row>
    <row r="1006" spans="2:6" x14ac:dyDescent="0.55000000000000004">
      <c r="B1006" s="1">
        <v>994</v>
      </c>
      <c r="C1006" s="6">
        <f t="shared" si="30"/>
        <v>-14.99947693277125</v>
      </c>
      <c r="D1006" s="6">
        <f t="shared" si="31"/>
        <v>27.73113217564806</v>
      </c>
      <c r="E1006" s="18"/>
      <c r="F1006" s="18"/>
    </row>
    <row r="1007" spans="2:6" x14ac:dyDescent="0.55000000000000004">
      <c r="B1007" s="1">
        <v>995</v>
      </c>
      <c r="C1007" s="6">
        <f t="shared" si="30"/>
        <v>29.807444437099601</v>
      </c>
      <c r="D1007" s="6">
        <f t="shared" si="31"/>
        <v>-10.32067130225647</v>
      </c>
      <c r="E1007" s="18"/>
      <c r="F1007" s="18"/>
    </row>
    <row r="1008" spans="2:6" x14ac:dyDescent="0.55000000000000004">
      <c r="B1008" s="1">
        <v>996</v>
      </c>
      <c r="C1008" s="6">
        <f t="shared" si="30"/>
        <v>-28.964891800062905</v>
      </c>
      <c r="D1008" s="6">
        <f t="shared" si="31"/>
        <v>-12.531362376479608</v>
      </c>
      <c r="E1008" s="18"/>
      <c r="F1008" s="18"/>
    </row>
    <row r="1009" spans="2:6" x14ac:dyDescent="0.55000000000000004">
      <c r="B1009" s="1">
        <v>997</v>
      </c>
      <c r="C1009" s="6">
        <f t="shared" si="30"/>
        <v>12.898897090678926</v>
      </c>
      <c r="D1009" s="6">
        <f t="shared" si="31"/>
        <v>28.820452006241588</v>
      </c>
      <c r="E1009" s="18"/>
      <c r="F1009" s="18"/>
    </row>
    <row r="1010" spans="2:6" x14ac:dyDescent="0.55000000000000004">
      <c r="B1010" s="1">
        <v>998</v>
      </c>
      <c r="C1010" s="6">
        <f t="shared" si="30"/>
        <v>9.9622751015300306</v>
      </c>
      <c r="D1010" s="6">
        <f t="shared" si="31"/>
        <v>-29.979210710114348</v>
      </c>
      <c r="E1010" s="18"/>
      <c r="F1010" s="18"/>
    </row>
    <row r="1011" spans="2:6" x14ac:dyDescent="0.55000000000000004">
      <c r="B1011" s="1">
        <v>999</v>
      </c>
      <c r="C1011" s="6">
        <f t="shared" si="30"/>
        <v>-27.610664078001808</v>
      </c>
      <c r="D1011" s="6">
        <f t="shared" si="31"/>
        <v>15.383472597945511</v>
      </c>
      <c r="E1011" s="18"/>
      <c r="F1011" s="18"/>
    </row>
    <row r="1012" spans="2:6" ht="18.5" thickBot="1" x14ac:dyDescent="0.6">
      <c r="B1012" s="2">
        <v>1000</v>
      </c>
      <c r="C1012" s="6">
        <f t="shared" si="30"/>
        <v>30.765873134613987</v>
      </c>
      <c r="D1012" s="6">
        <f t="shared" si="31"/>
        <v>7.3117063853000444</v>
      </c>
      <c r="E1012" s="18"/>
      <c r="F1012" s="18"/>
    </row>
    <row r="1013" spans="2:6" x14ac:dyDescent="0.55000000000000004">
      <c r="C1013" s="6">
        <f>C1012</f>
        <v>30.765873134613987</v>
      </c>
      <c r="D1013" s="6">
        <f>C1013</f>
        <v>30.765873134613987</v>
      </c>
      <c r="E1013" s="18"/>
      <c r="F1013" s="18"/>
    </row>
    <row r="1014" spans="2:6" x14ac:dyDescent="0.55000000000000004">
      <c r="C1014" s="6">
        <f>-C1013</f>
        <v>-30.765873134613987</v>
      </c>
      <c r="D1014" s="6">
        <f>D1013</f>
        <v>30.765873134613987</v>
      </c>
      <c r="E1014" s="18"/>
      <c r="F1014" s="18"/>
    </row>
    <row r="1015" spans="2:6" x14ac:dyDescent="0.55000000000000004">
      <c r="C1015" s="6">
        <f>C1014</f>
        <v>-30.765873134613987</v>
      </c>
      <c r="D1015" s="6">
        <f>-D1014</f>
        <v>-30.765873134613987</v>
      </c>
      <c r="E1015" s="28"/>
      <c r="F1015" s="28"/>
    </row>
    <row r="1016" spans="2:6" ht="18.5" thickBot="1" x14ac:dyDescent="0.6">
      <c r="C1016" s="7">
        <f>C1013</f>
        <v>30.765873134613987</v>
      </c>
      <c r="D1016" s="7">
        <f>D1015</f>
        <v>-30.765873134613987</v>
      </c>
      <c r="E1016" s="28"/>
      <c r="F1016" s="28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49B2-7921-48EE-AAEA-8315AD8B4FD1}">
  <dimension ref="C1:AX62"/>
  <sheetViews>
    <sheetView zoomScaleNormal="100" workbookViewId="0">
      <selection activeCell="C2" sqref="C2"/>
    </sheetView>
  </sheetViews>
  <sheetFormatPr defaultRowHeight="18" x14ac:dyDescent="0.55000000000000004"/>
  <sheetData>
    <row r="1" spans="3:50" ht="18.5" thickBot="1" x14ac:dyDescent="0.6"/>
    <row r="2" spans="3:50" ht="18.5" thickBot="1" x14ac:dyDescent="0.6">
      <c r="C2" s="8" t="s">
        <v>9</v>
      </c>
      <c r="D2" s="4">
        <f>(1+SQRT(5))/2</f>
        <v>1.6180339887498949</v>
      </c>
      <c r="E2" s="36" t="s">
        <v>16</v>
      </c>
      <c r="F2" s="37" t="s">
        <v>17</v>
      </c>
    </row>
    <row r="3" spans="3:50" ht="18.5" thickBot="1" x14ac:dyDescent="0.6">
      <c r="C3" s="14" t="s">
        <v>10</v>
      </c>
      <c r="D3" s="3">
        <f>(2*PI())/D2</f>
        <v>3.8832220774509327</v>
      </c>
      <c r="E3" s="5">
        <f>360/D2</f>
        <v>222.49223594996215</v>
      </c>
      <c r="F3" s="4">
        <f>360-E3</f>
        <v>137.50776405003785</v>
      </c>
    </row>
    <row r="4" spans="3:50" ht="18.5" thickBot="1" x14ac:dyDescent="0.6"/>
    <row r="5" spans="3:50" ht="18.5" thickBot="1" x14ac:dyDescent="0.6">
      <c r="G5" s="15">
        <v>2</v>
      </c>
      <c r="H5" s="41" t="s">
        <v>20</v>
      </c>
      <c r="I5" s="15">
        <v>3</v>
      </c>
      <c r="J5" s="15" t="s">
        <v>20</v>
      </c>
      <c r="K5" s="15">
        <v>4</v>
      </c>
      <c r="L5" s="42" t="s">
        <v>19</v>
      </c>
      <c r="M5" s="15">
        <v>5</v>
      </c>
      <c r="N5" s="42" t="s">
        <v>19</v>
      </c>
      <c r="O5" s="15">
        <v>6</v>
      </c>
      <c r="P5" s="42" t="s">
        <v>19</v>
      </c>
      <c r="Q5" s="43">
        <v>7</v>
      </c>
      <c r="R5" s="15" t="s">
        <v>19</v>
      </c>
      <c r="S5" s="41">
        <v>8</v>
      </c>
      <c r="T5" s="42" t="s">
        <v>19</v>
      </c>
      <c r="U5" s="15">
        <v>9</v>
      </c>
      <c r="V5" s="42" t="s">
        <v>19</v>
      </c>
      <c r="W5" s="15">
        <v>10</v>
      </c>
      <c r="X5" s="42" t="s">
        <v>19</v>
      </c>
      <c r="Y5" s="15">
        <v>11</v>
      </c>
      <c r="Z5" s="42" t="s">
        <v>19</v>
      </c>
      <c r="AA5" s="15">
        <v>12</v>
      </c>
      <c r="AB5" s="42" t="s">
        <v>19</v>
      </c>
      <c r="AC5" s="15">
        <v>13</v>
      </c>
      <c r="AD5" s="42" t="s">
        <v>19</v>
      </c>
      <c r="AE5" s="15">
        <v>14</v>
      </c>
      <c r="AF5" s="41" t="s">
        <v>19</v>
      </c>
      <c r="AG5" s="15">
        <v>15</v>
      </c>
      <c r="AH5" s="42" t="s">
        <v>19</v>
      </c>
      <c r="AI5" s="15">
        <v>16</v>
      </c>
      <c r="AJ5" s="42" t="s">
        <v>19</v>
      </c>
      <c r="AK5" s="15">
        <v>17</v>
      </c>
      <c r="AL5" s="42" t="s">
        <v>19</v>
      </c>
      <c r="AM5" s="15">
        <v>18</v>
      </c>
      <c r="AN5" s="42" t="s">
        <v>19</v>
      </c>
      <c r="AO5" s="15">
        <v>19</v>
      </c>
      <c r="AP5" s="42" t="s">
        <v>19</v>
      </c>
      <c r="AQ5" s="15">
        <v>20</v>
      </c>
      <c r="AR5" s="42" t="s">
        <v>19</v>
      </c>
      <c r="AS5" s="15">
        <v>21</v>
      </c>
      <c r="AT5" s="42" t="s">
        <v>19</v>
      </c>
      <c r="AU5" s="15">
        <v>22</v>
      </c>
      <c r="AV5" s="42" t="s">
        <v>19</v>
      </c>
      <c r="AW5" s="15">
        <v>23</v>
      </c>
      <c r="AX5" s="41" t="s">
        <v>19</v>
      </c>
    </row>
    <row r="6" spans="3:50" ht="18.5" thickBot="1" x14ac:dyDescent="0.6">
      <c r="C6" s="8" t="s">
        <v>15</v>
      </c>
      <c r="D6" s="9" t="s">
        <v>18</v>
      </c>
      <c r="G6" s="39">
        <v>0</v>
      </c>
      <c r="H6" s="35"/>
      <c r="I6" s="6">
        <v>0</v>
      </c>
      <c r="J6" s="35"/>
      <c r="K6" s="10">
        <v>0</v>
      </c>
      <c r="L6" s="34"/>
      <c r="M6" s="10">
        <v>0</v>
      </c>
      <c r="N6" s="34"/>
      <c r="O6" s="10">
        <v>0</v>
      </c>
      <c r="P6" s="34"/>
      <c r="Q6" s="29">
        <v>0</v>
      </c>
      <c r="R6" s="10"/>
      <c r="S6" s="30">
        <v>0</v>
      </c>
      <c r="T6" s="34"/>
      <c r="U6" s="10">
        <v>0</v>
      </c>
      <c r="V6" s="34"/>
      <c r="W6" s="44">
        <v>0</v>
      </c>
      <c r="X6" s="46"/>
      <c r="Y6" s="10">
        <v>0</v>
      </c>
      <c r="Z6" s="34"/>
      <c r="AA6" s="10">
        <v>0</v>
      </c>
      <c r="AB6" s="34"/>
      <c r="AC6" s="10">
        <v>0</v>
      </c>
      <c r="AD6" s="34"/>
      <c r="AE6" s="10">
        <v>0</v>
      </c>
      <c r="AF6" s="34"/>
      <c r="AG6" s="10">
        <v>0</v>
      </c>
      <c r="AH6" s="34"/>
      <c r="AI6" s="10">
        <v>0</v>
      </c>
      <c r="AJ6" s="34"/>
      <c r="AK6" s="10">
        <v>0</v>
      </c>
      <c r="AL6" s="34"/>
      <c r="AM6" s="10">
        <v>0</v>
      </c>
      <c r="AN6" s="34"/>
      <c r="AO6" s="10">
        <v>0</v>
      </c>
      <c r="AP6" s="34"/>
      <c r="AQ6" s="10">
        <v>0</v>
      </c>
      <c r="AR6" s="34"/>
      <c r="AS6" s="10">
        <v>0</v>
      </c>
      <c r="AT6" s="34"/>
      <c r="AU6" s="10">
        <v>0</v>
      </c>
      <c r="AV6" s="34"/>
      <c r="AW6" s="10">
        <v>0</v>
      </c>
      <c r="AX6" s="34"/>
    </row>
    <row r="7" spans="3:50" x14ac:dyDescent="0.55000000000000004">
      <c r="C7" s="35">
        <v>0</v>
      </c>
      <c r="D7" s="31">
        <f>MOD($F$3*C7,360)</f>
        <v>0</v>
      </c>
      <c r="G7" s="39">
        <v>137.50776405003785</v>
      </c>
      <c r="H7" s="6">
        <f>G7-G6</f>
        <v>137.50776405003785</v>
      </c>
      <c r="I7" s="6">
        <v>137.50776405003785</v>
      </c>
      <c r="J7" s="6">
        <f>I7-I6</f>
        <v>137.50776405003785</v>
      </c>
      <c r="K7" s="10">
        <v>52.523292150113548</v>
      </c>
      <c r="L7" s="10">
        <f>K7-K6</f>
        <v>52.523292150113548</v>
      </c>
      <c r="M7" s="10">
        <v>52.523292150113548</v>
      </c>
      <c r="N7" s="10">
        <f>M7-M6</f>
        <v>52.523292150113548</v>
      </c>
      <c r="O7" s="10">
        <v>52.523292150113548</v>
      </c>
      <c r="P7" s="10">
        <f>O7-O6</f>
        <v>52.523292150113548</v>
      </c>
      <c r="Q7" s="29">
        <v>52.523292150113548</v>
      </c>
      <c r="R7" s="10">
        <f>Q7-Q6</f>
        <v>52.523292150113548</v>
      </c>
      <c r="S7" s="30">
        <v>52.523292150113548</v>
      </c>
      <c r="T7" s="10">
        <f>S7-S6</f>
        <v>52.523292150113548</v>
      </c>
      <c r="U7" s="10">
        <v>20.062112400302794</v>
      </c>
      <c r="V7" s="10">
        <f>U7-U6</f>
        <v>20.062112400302794</v>
      </c>
      <c r="W7" s="44">
        <v>20.062112400302794</v>
      </c>
      <c r="X7" s="44">
        <f>W7-W6</f>
        <v>20.062112400302794</v>
      </c>
      <c r="Y7" s="10">
        <v>20.062112400302794</v>
      </c>
      <c r="Z7" s="10">
        <f>Y7-Y6</f>
        <v>20.062112400302794</v>
      </c>
      <c r="AA7" s="10">
        <v>20.062112400302794</v>
      </c>
      <c r="AB7" s="10">
        <f>AA7-AA6</f>
        <v>20.062112400302794</v>
      </c>
      <c r="AC7" s="10">
        <v>20.062112400302794</v>
      </c>
      <c r="AD7" s="10">
        <f>AC7-AC6</f>
        <v>20.062112400302794</v>
      </c>
      <c r="AE7" s="10">
        <v>20.062112400302794</v>
      </c>
      <c r="AF7" s="10">
        <f>AE7-AE6</f>
        <v>20.062112400302794</v>
      </c>
      <c r="AG7" s="10">
        <v>20.062112400302794</v>
      </c>
      <c r="AH7" s="10">
        <f>AG7-AG6</f>
        <v>20.062112400302794</v>
      </c>
      <c r="AI7" s="10">
        <v>20.062112400302794</v>
      </c>
      <c r="AJ7" s="10">
        <f>AI7-AI6</f>
        <v>20.062112400302794</v>
      </c>
      <c r="AK7" s="10">
        <v>20.062112400302794</v>
      </c>
      <c r="AL7" s="10">
        <f>AK7-AK6</f>
        <v>20.062112400302794</v>
      </c>
      <c r="AM7" s="10">
        <v>20.062112400302794</v>
      </c>
      <c r="AN7" s="10">
        <f>AM7-AM6</f>
        <v>20.062112400302794</v>
      </c>
      <c r="AO7" s="10">
        <v>20.062112400302794</v>
      </c>
      <c r="AP7" s="10">
        <f>AO7-AO6</f>
        <v>20.062112400302794</v>
      </c>
      <c r="AQ7" s="10">
        <v>20.062112400302794</v>
      </c>
      <c r="AR7" s="10">
        <f>AQ7-AQ6</f>
        <v>20.062112400302794</v>
      </c>
      <c r="AS7" s="10">
        <v>20.062112400302794</v>
      </c>
      <c r="AT7" s="10">
        <f>AS7-AS6</f>
        <v>20.062112400302794</v>
      </c>
      <c r="AU7" s="10">
        <v>7.663045050794608</v>
      </c>
      <c r="AV7" s="10">
        <f>AU7-AU6</f>
        <v>7.663045050794608</v>
      </c>
      <c r="AW7" s="10">
        <v>7.663045050794608</v>
      </c>
      <c r="AX7" s="10">
        <f>AW7-AW6</f>
        <v>7.663045050794608</v>
      </c>
    </row>
    <row r="8" spans="3:50" ht="18.5" thickBot="1" x14ac:dyDescent="0.6">
      <c r="C8" s="6">
        <v>1</v>
      </c>
      <c r="D8" s="33">
        <f>MOD($F$3*C8,360)</f>
        <v>137.50776405003785</v>
      </c>
      <c r="G8" s="40">
        <v>360</v>
      </c>
      <c r="H8" s="7">
        <f>G8-G7</f>
        <v>222.49223594996215</v>
      </c>
      <c r="I8" s="6">
        <v>275.0155281000757</v>
      </c>
      <c r="J8" s="6">
        <f t="shared" ref="J8:J9" si="0">I8-I7</f>
        <v>137.50776405003785</v>
      </c>
      <c r="K8" s="10">
        <v>137.50776405003785</v>
      </c>
      <c r="L8" s="10">
        <f t="shared" ref="L8:L10" si="1">K8-K7</f>
        <v>84.984471899924301</v>
      </c>
      <c r="M8" s="10">
        <v>137.50776405003785</v>
      </c>
      <c r="N8" s="10">
        <f t="shared" ref="N8:N11" si="2">M8-M7</f>
        <v>84.984471899924301</v>
      </c>
      <c r="O8" s="10">
        <v>137.50776405003785</v>
      </c>
      <c r="P8" s="10">
        <f t="shared" ref="P8:P12" si="3">O8-O7</f>
        <v>84.984471899924301</v>
      </c>
      <c r="Q8" s="29">
        <v>105.0465843002271</v>
      </c>
      <c r="R8" s="10">
        <f t="shared" ref="R8:R13" si="4">Q8-Q7</f>
        <v>52.523292150113548</v>
      </c>
      <c r="S8" s="30">
        <v>105.0465843002271</v>
      </c>
      <c r="T8" s="10">
        <f t="shared" ref="T8:T14" si="5">S8-S7</f>
        <v>52.523292150113548</v>
      </c>
      <c r="U8" s="10">
        <v>52.523292150113548</v>
      </c>
      <c r="V8" s="10">
        <f t="shared" ref="V8:V15" si="6">U8-U7</f>
        <v>32.461179749810753</v>
      </c>
      <c r="W8" s="44">
        <v>52.523292150113548</v>
      </c>
      <c r="X8" s="44">
        <f t="shared" ref="X8:X16" si="7">W8-W7</f>
        <v>32.461179749810753</v>
      </c>
      <c r="Y8" s="10">
        <v>52.523292150113548</v>
      </c>
      <c r="Z8" s="10">
        <f t="shared" ref="Z8:Z17" si="8">Y8-Y7</f>
        <v>32.461179749810753</v>
      </c>
      <c r="AA8" s="10">
        <v>52.523292150113548</v>
      </c>
      <c r="AB8" s="10">
        <f t="shared" ref="AB8:AB18" si="9">AA8-AA7</f>
        <v>32.461179749810753</v>
      </c>
      <c r="AC8" s="10">
        <v>52.523292150113548</v>
      </c>
      <c r="AD8" s="10">
        <f t="shared" ref="AD8:AD19" si="10">AC8-AC7</f>
        <v>32.461179749810753</v>
      </c>
      <c r="AE8" s="10">
        <v>52.523292150113548</v>
      </c>
      <c r="AF8" s="10">
        <f t="shared" ref="AF8:AF20" si="11">AE8-AE7</f>
        <v>32.461179749810753</v>
      </c>
      <c r="AG8" s="10">
        <v>52.523292150113548</v>
      </c>
      <c r="AH8" s="10">
        <f t="shared" ref="AH8:AH21" si="12">AG8-AG7</f>
        <v>32.461179749810753</v>
      </c>
      <c r="AI8" s="10">
        <v>52.523292150113548</v>
      </c>
      <c r="AJ8" s="10">
        <f t="shared" ref="AJ8:AJ22" si="13">AI8-AI7</f>
        <v>32.461179749810753</v>
      </c>
      <c r="AK8" s="10">
        <v>40.124224800605589</v>
      </c>
      <c r="AL8" s="10">
        <f t="shared" ref="AL8:AL23" si="14">AK8-AK7</f>
        <v>20.062112400302794</v>
      </c>
      <c r="AM8" s="10">
        <v>40.124224800605589</v>
      </c>
      <c r="AN8" s="10">
        <f t="shared" ref="AN8:AN24" si="15">AM8-AM7</f>
        <v>20.062112400302794</v>
      </c>
      <c r="AO8" s="10">
        <v>40.124224800605589</v>
      </c>
      <c r="AP8" s="10">
        <f t="shared" ref="AP8:AP25" si="16">AO8-AO7</f>
        <v>20.062112400302794</v>
      </c>
      <c r="AQ8" s="10">
        <v>40.124224800605589</v>
      </c>
      <c r="AR8" s="10">
        <f t="shared" ref="AR8:AR26" si="17">AQ8-AQ7</f>
        <v>20.062112400302794</v>
      </c>
      <c r="AS8" s="10">
        <v>40.124224800605589</v>
      </c>
      <c r="AT8" s="10">
        <f t="shared" ref="AT8:AT27" si="18">AS8-AS7</f>
        <v>20.062112400302794</v>
      </c>
      <c r="AU8" s="10">
        <v>20.062112400302794</v>
      </c>
      <c r="AV8" s="10">
        <f t="shared" ref="AV8:AV28" si="19">AU8-AU7</f>
        <v>12.399067349508186</v>
      </c>
      <c r="AW8" s="10">
        <v>20.062112400302794</v>
      </c>
      <c r="AX8" s="10">
        <f t="shared" ref="AX8:AX29" si="20">AW8-AW7</f>
        <v>12.399067349508186</v>
      </c>
    </row>
    <row r="9" spans="3:50" ht="18.5" thickBot="1" x14ac:dyDescent="0.6">
      <c r="C9" s="6">
        <v>2</v>
      </c>
      <c r="D9" s="33">
        <f>MOD($F$3*C9,360)</f>
        <v>275.0155281000757</v>
      </c>
      <c r="I9" s="40">
        <v>360</v>
      </c>
      <c r="J9" s="7">
        <f t="shared" si="0"/>
        <v>84.984471899924301</v>
      </c>
      <c r="K9" s="10">
        <v>275.0155281000757</v>
      </c>
      <c r="L9" s="10">
        <f t="shared" si="1"/>
        <v>137.50776405003785</v>
      </c>
      <c r="M9" s="10">
        <v>190.0310562001514</v>
      </c>
      <c r="N9" s="10">
        <f t="shared" si="2"/>
        <v>52.523292150113548</v>
      </c>
      <c r="O9" s="10">
        <v>190.0310562001514</v>
      </c>
      <c r="P9" s="10">
        <f t="shared" si="3"/>
        <v>52.523292150113548</v>
      </c>
      <c r="Q9" s="29">
        <v>137.50776405003785</v>
      </c>
      <c r="R9" s="10">
        <f t="shared" si="4"/>
        <v>32.461179749810753</v>
      </c>
      <c r="S9" s="30">
        <v>137.50776405003785</v>
      </c>
      <c r="T9" s="10">
        <f t="shared" si="5"/>
        <v>32.461179749810753</v>
      </c>
      <c r="U9" s="10">
        <v>105.0465843002271</v>
      </c>
      <c r="V9" s="10">
        <f t="shared" si="6"/>
        <v>52.523292150113548</v>
      </c>
      <c r="W9" s="44">
        <v>105.0465843002271</v>
      </c>
      <c r="X9" s="44">
        <f t="shared" si="7"/>
        <v>52.523292150113548</v>
      </c>
      <c r="Y9" s="10">
        <v>105.0465843002271</v>
      </c>
      <c r="Z9" s="10">
        <f t="shared" si="8"/>
        <v>52.523292150113548</v>
      </c>
      <c r="AA9" s="10">
        <v>72.585404550416342</v>
      </c>
      <c r="AB9" s="10">
        <f t="shared" si="9"/>
        <v>20.062112400302794</v>
      </c>
      <c r="AC9" s="10">
        <v>72.585404550416342</v>
      </c>
      <c r="AD9" s="10">
        <f t="shared" si="10"/>
        <v>20.062112400302794</v>
      </c>
      <c r="AE9" s="10">
        <v>72.585404550416342</v>
      </c>
      <c r="AF9" s="10">
        <f t="shared" si="11"/>
        <v>20.062112400302794</v>
      </c>
      <c r="AG9" s="10">
        <v>72.585404550416342</v>
      </c>
      <c r="AH9" s="10">
        <f t="shared" si="12"/>
        <v>20.062112400302794</v>
      </c>
      <c r="AI9" s="10">
        <v>72.585404550416342</v>
      </c>
      <c r="AJ9" s="10">
        <f t="shared" si="13"/>
        <v>20.062112400302794</v>
      </c>
      <c r="AK9" s="10">
        <v>52.523292150113548</v>
      </c>
      <c r="AL9" s="10">
        <f t="shared" si="14"/>
        <v>12.399067349507959</v>
      </c>
      <c r="AM9" s="10">
        <v>52.523292150113548</v>
      </c>
      <c r="AN9" s="10">
        <f t="shared" si="15"/>
        <v>12.399067349507959</v>
      </c>
      <c r="AO9" s="10">
        <v>52.523292150113548</v>
      </c>
      <c r="AP9" s="10">
        <f t="shared" si="16"/>
        <v>12.399067349507959</v>
      </c>
      <c r="AQ9" s="10">
        <v>52.523292150113548</v>
      </c>
      <c r="AR9" s="10">
        <f t="shared" si="17"/>
        <v>12.399067349507959</v>
      </c>
      <c r="AS9" s="10">
        <v>52.523292150113548</v>
      </c>
      <c r="AT9" s="10">
        <f t="shared" si="18"/>
        <v>12.399067349507959</v>
      </c>
      <c r="AU9" s="10">
        <v>40.124224800605589</v>
      </c>
      <c r="AV9" s="10">
        <f t="shared" si="19"/>
        <v>20.062112400302794</v>
      </c>
      <c r="AW9" s="10">
        <v>40.124224800605589</v>
      </c>
      <c r="AX9" s="10">
        <f t="shared" si="20"/>
        <v>20.062112400302794</v>
      </c>
    </row>
    <row r="10" spans="3:50" ht="18.5" thickBot="1" x14ac:dyDescent="0.6">
      <c r="C10" s="6">
        <v>3</v>
      </c>
      <c r="D10" s="33">
        <f>MOD($F$3*C10,360)</f>
        <v>52.523292150113548</v>
      </c>
      <c r="K10" s="40">
        <v>360</v>
      </c>
      <c r="L10" s="11">
        <f t="shared" si="1"/>
        <v>84.984471899924301</v>
      </c>
      <c r="M10" s="10">
        <v>275.0155281000757</v>
      </c>
      <c r="N10" s="10">
        <f t="shared" si="2"/>
        <v>84.984471899924301</v>
      </c>
      <c r="O10" s="10">
        <v>275.0155281000757</v>
      </c>
      <c r="P10" s="10">
        <f t="shared" si="3"/>
        <v>84.984471899924301</v>
      </c>
      <c r="Q10" s="29">
        <v>190.0310562001514</v>
      </c>
      <c r="R10" s="10">
        <f t="shared" si="4"/>
        <v>52.523292150113548</v>
      </c>
      <c r="S10" s="30">
        <v>190.0310562001514</v>
      </c>
      <c r="T10" s="10">
        <f t="shared" si="5"/>
        <v>52.523292150113548</v>
      </c>
      <c r="U10" s="10">
        <v>137.50776405003785</v>
      </c>
      <c r="V10" s="10">
        <f t="shared" si="6"/>
        <v>32.461179749810753</v>
      </c>
      <c r="W10" s="44">
        <v>137.50776405003785</v>
      </c>
      <c r="X10" s="44">
        <f t="shared" si="7"/>
        <v>32.461179749810753</v>
      </c>
      <c r="Y10" s="10">
        <v>137.50776405003785</v>
      </c>
      <c r="Z10" s="10">
        <f t="shared" si="8"/>
        <v>32.461179749810753</v>
      </c>
      <c r="AA10" s="10">
        <v>105.0465843002271</v>
      </c>
      <c r="AB10" s="10">
        <f t="shared" si="9"/>
        <v>32.461179749810753</v>
      </c>
      <c r="AC10" s="10">
        <v>105.0465843002271</v>
      </c>
      <c r="AD10" s="10">
        <f t="shared" si="10"/>
        <v>32.461179749810753</v>
      </c>
      <c r="AE10" s="10">
        <v>105.0465843002271</v>
      </c>
      <c r="AF10" s="10">
        <f t="shared" si="11"/>
        <v>32.461179749810753</v>
      </c>
      <c r="AG10" s="10">
        <v>105.0465843002271</v>
      </c>
      <c r="AH10" s="10">
        <f t="shared" si="12"/>
        <v>32.461179749810753</v>
      </c>
      <c r="AI10" s="10">
        <v>105.0465843002271</v>
      </c>
      <c r="AJ10" s="10">
        <f t="shared" si="13"/>
        <v>32.461179749810753</v>
      </c>
      <c r="AK10" s="10">
        <v>72.585404550416342</v>
      </c>
      <c r="AL10" s="10">
        <f t="shared" si="14"/>
        <v>20.062112400302794</v>
      </c>
      <c r="AM10" s="10">
        <v>72.585404550416342</v>
      </c>
      <c r="AN10" s="10">
        <f t="shared" si="15"/>
        <v>20.062112400302794</v>
      </c>
      <c r="AO10" s="10">
        <v>72.585404550416342</v>
      </c>
      <c r="AP10" s="10">
        <f t="shared" si="16"/>
        <v>20.062112400302794</v>
      </c>
      <c r="AQ10" s="10">
        <v>72.585404550416342</v>
      </c>
      <c r="AR10" s="10">
        <f t="shared" si="17"/>
        <v>20.062112400302794</v>
      </c>
      <c r="AS10" s="10">
        <v>72.585404550416342</v>
      </c>
      <c r="AT10" s="10">
        <f t="shared" si="18"/>
        <v>20.062112400302794</v>
      </c>
      <c r="AU10" s="10">
        <v>52.523292150113548</v>
      </c>
      <c r="AV10" s="10">
        <f t="shared" si="19"/>
        <v>12.399067349507959</v>
      </c>
      <c r="AW10" s="10">
        <v>52.523292150113548</v>
      </c>
      <c r="AX10" s="10">
        <f t="shared" si="20"/>
        <v>12.399067349507959</v>
      </c>
    </row>
    <row r="11" spans="3:50" ht="18.5" thickBot="1" x14ac:dyDescent="0.6">
      <c r="C11" s="6">
        <v>4</v>
      </c>
      <c r="D11" s="33">
        <f>MOD($F$3*C11,360)</f>
        <v>190.0310562001514</v>
      </c>
      <c r="M11" s="40">
        <v>360</v>
      </c>
      <c r="N11" s="11">
        <f t="shared" si="2"/>
        <v>84.984471899924301</v>
      </c>
      <c r="O11" s="10">
        <v>327.53882025018925</v>
      </c>
      <c r="P11" s="10">
        <f t="shared" si="3"/>
        <v>52.523292150113548</v>
      </c>
      <c r="Q11" s="29">
        <v>275.0155281000757</v>
      </c>
      <c r="R11" s="10">
        <f t="shared" si="4"/>
        <v>84.984471899924301</v>
      </c>
      <c r="S11" s="30">
        <v>242.55434835026495</v>
      </c>
      <c r="T11" s="10">
        <f t="shared" si="5"/>
        <v>52.523292150113548</v>
      </c>
      <c r="U11" s="10">
        <v>190.0310562001514</v>
      </c>
      <c r="V11" s="10">
        <f t="shared" si="6"/>
        <v>52.523292150113548</v>
      </c>
      <c r="W11" s="44">
        <v>157.56987645034064</v>
      </c>
      <c r="X11" s="44">
        <f t="shared" si="7"/>
        <v>20.062112400302794</v>
      </c>
      <c r="Y11" s="10">
        <v>157.56987645034064</v>
      </c>
      <c r="Z11" s="10">
        <f t="shared" si="8"/>
        <v>20.062112400302794</v>
      </c>
      <c r="AA11" s="10">
        <v>137.50776405003785</v>
      </c>
      <c r="AB11" s="10">
        <f t="shared" si="9"/>
        <v>32.461179749810753</v>
      </c>
      <c r="AC11" s="10">
        <v>137.50776405003785</v>
      </c>
      <c r="AD11" s="10">
        <f t="shared" si="10"/>
        <v>32.461179749810753</v>
      </c>
      <c r="AE11" s="10">
        <v>137.50776405003785</v>
      </c>
      <c r="AF11" s="10">
        <f t="shared" si="11"/>
        <v>32.461179749810753</v>
      </c>
      <c r="AG11" s="10">
        <v>125.10869670052989</v>
      </c>
      <c r="AH11" s="10">
        <f t="shared" si="12"/>
        <v>20.062112400302794</v>
      </c>
      <c r="AI11" s="10">
        <v>125.10869670052989</v>
      </c>
      <c r="AJ11" s="10">
        <f t="shared" si="13"/>
        <v>20.062112400302794</v>
      </c>
      <c r="AK11" s="10">
        <v>105.0465843002271</v>
      </c>
      <c r="AL11" s="10">
        <f t="shared" si="14"/>
        <v>32.461179749810753</v>
      </c>
      <c r="AM11" s="10">
        <v>105.0465843002271</v>
      </c>
      <c r="AN11" s="10">
        <f t="shared" si="15"/>
        <v>32.461179749810753</v>
      </c>
      <c r="AO11" s="10">
        <v>105.0465843002271</v>
      </c>
      <c r="AP11" s="10">
        <f t="shared" si="16"/>
        <v>32.461179749810753</v>
      </c>
      <c r="AQ11" s="10">
        <v>92.647516950719364</v>
      </c>
      <c r="AR11" s="10">
        <f t="shared" si="17"/>
        <v>20.062112400303022</v>
      </c>
      <c r="AS11" s="10">
        <v>92.647516950719364</v>
      </c>
      <c r="AT11" s="10">
        <f t="shared" si="18"/>
        <v>20.062112400303022</v>
      </c>
      <c r="AU11" s="10">
        <v>72.585404550416342</v>
      </c>
      <c r="AV11" s="10">
        <f t="shared" si="19"/>
        <v>20.062112400302794</v>
      </c>
      <c r="AW11" s="10">
        <v>72.585404550416342</v>
      </c>
      <c r="AX11" s="10">
        <f t="shared" si="20"/>
        <v>20.062112400302794</v>
      </c>
    </row>
    <row r="12" spans="3:50" ht="18.5" thickBot="1" x14ac:dyDescent="0.6">
      <c r="C12" s="6">
        <v>5</v>
      </c>
      <c r="D12" s="33">
        <f>MOD($F$3*C12,360)</f>
        <v>327.53882025018925</v>
      </c>
      <c r="O12" s="40">
        <v>360</v>
      </c>
      <c r="P12" s="11">
        <f t="shared" si="3"/>
        <v>32.461179749810753</v>
      </c>
      <c r="Q12" s="29">
        <v>327.53882025018925</v>
      </c>
      <c r="R12" s="10">
        <f t="shared" si="4"/>
        <v>52.523292150113548</v>
      </c>
      <c r="S12" s="30">
        <v>275.0155281000757</v>
      </c>
      <c r="T12" s="10">
        <f t="shared" si="5"/>
        <v>32.461179749810753</v>
      </c>
      <c r="U12" s="10">
        <v>242.55434835026495</v>
      </c>
      <c r="V12" s="10">
        <f t="shared" si="6"/>
        <v>52.523292150113548</v>
      </c>
      <c r="W12" s="44">
        <v>190.0310562001514</v>
      </c>
      <c r="X12" s="44">
        <f t="shared" si="7"/>
        <v>32.461179749810753</v>
      </c>
      <c r="Y12" s="10">
        <v>190.0310562001514</v>
      </c>
      <c r="Z12" s="10">
        <f t="shared" si="8"/>
        <v>32.461179749810753</v>
      </c>
      <c r="AA12" s="10">
        <v>157.56987645034064</v>
      </c>
      <c r="AB12" s="10">
        <f t="shared" si="9"/>
        <v>20.062112400302794</v>
      </c>
      <c r="AC12" s="10">
        <v>157.56987645034064</v>
      </c>
      <c r="AD12" s="10">
        <f t="shared" si="10"/>
        <v>20.062112400302794</v>
      </c>
      <c r="AE12" s="10">
        <v>157.56987645034064</v>
      </c>
      <c r="AF12" s="10">
        <f t="shared" si="11"/>
        <v>20.062112400302794</v>
      </c>
      <c r="AG12" s="10">
        <v>137.50776405003785</v>
      </c>
      <c r="AH12" s="10">
        <f t="shared" si="12"/>
        <v>12.399067349507959</v>
      </c>
      <c r="AI12" s="10">
        <v>137.50776405003785</v>
      </c>
      <c r="AJ12" s="10">
        <f t="shared" si="13"/>
        <v>12.399067349507959</v>
      </c>
      <c r="AK12" s="10">
        <v>125.10869670052989</v>
      </c>
      <c r="AL12" s="10">
        <f t="shared" si="14"/>
        <v>20.062112400302794</v>
      </c>
      <c r="AM12" s="10">
        <v>125.10869670052989</v>
      </c>
      <c r="AN12" s="10">
        <f t="shared" si="15"/>
        <v>20.062112400302794</v>
      </c>
      <c r="AO12" s="10">
        <v>125.10869670052989</v>
      </c>
      <c r="AP12" s="10">
        <f t="shared" si="16"/>
        <v>20.062112400302794</v>
      </c>
      <c r="AQ12" s="10">
        <v>105.0465843002271</v>
      </c>
      <c r="AR12" s="10">
        <f t="shared" si="17"/>
        <v>12.399067349507732</v>
      </c>
      <c r="AS12" s="10">
        <v>105.0465843002271</v>
      </c>
      <c r="AT12" s="10">
        <f t="shared" si="18"/>
        <v>12.399067349507732</v>
      </c>
      <c r="AU12" s="10">
        <v>92.647516950719364</v>
      </c>
      <c r="AV12" s="10">
        <f t="shared" si="19"/>
        <v>20.062112400303022</v>
      </c>
      <c r="AW12" s="10">
        <v>92.647516950719364</v>
      </c>
      <c r="AX12" s="10">
        <f t="shared" si="20"/>
        <v>20.062112400303022</v>
      </c>
    </row>
    <row r="13" spans="3:50" ht="18.5" thickBot="1" x14ac:dyDescent="0.6">
      <c r="C13" s="6">
        <v>6</v>
      </c>
      <c r="D13" s="33">
        <f>MOD($F$3*C13,360)</f>
        <v>105.0465843002271</v>
      </c>
      <c r="Q13" s="38">
        <v>360</v>
      </c>
      <c r="R13" s="11">
        <f t="shared" si="4"/>
        <v>32.461179749810753</v>
      </c>
      <c r="S13" s="30">
        <v>327.53882025018925</v>
      </c>
      <c r="T13" s="10">
        <f t="shared" si="5"/>
        <v>52.523292150113548</v>
      </c>
      <c r="U13" s="10">
        <v>275.0155281000757</v>
      </c>
      <c r="V13" s="10">
        <f t="shared" si="6"/>
        <v>32.461179749810753</v>
      </c>
      <c r="W13" s="44">
        <v>242.55434835026495</v>
      </c>
      <c r="X13" s="44">
        <f t="shared" si="7"/>
        <v>52.523292150113548</v>
      </c>
      <c r="Y13" s="10">
        <v>242.55434835026495</v>
      </c>
      <c r="Z13" s="10">
        <f t="shared" si="8"/>
        <v>52.523292150113548</v>
      </c>
      <c r="AA13" s="10">
        <v>190.0310562001514</v>
      </c>
      <c r="AB13" s="10">
        <f t="shared" si="9"/>
        <v>32.461179749810753</v>
      </c>
      <c r="AC13" s="10">
        <v>190.0310562001514</v>
      </c>
      <c r="AD13" s="10">
        <f t="shared" si="10"/>
        <v>32.461179749810753</v>
      </c>
      <c r="AE13" s="10">
        <v>190.0310562001514</v>
      </c>
      <c r="AF13" s="10">
        <f t="shared" si="11"/>
        <v>32.461179749810753</v>
      </c>
      <c r="AG13" s="10">
        <v>157.56987645034064</v>
      </c>
      <c r="AH13" s="10">
        <f t="shared" si="12"/>
        <v>20.062112400302794</v>
      </c>
      <c r="AI13" s="10">
        <v>157.56987645034064</v>
      </c>
      <c r="AJ13" s="10">
        <f t="shared" si="13"/>
        <v>20.062112400302794</v>
      </c>
      <c r="AK13" s="10">
        <v>137.50776405003785</v>
      </c>
      <c r="AL13" s="10">
        <f t="shared" si="14"/>
        <v>12.399067349507959</v>
      </c>
      <c r="AM13" s="10">
        <v>137.50776405003785</v>
      </c>
      <c r="AN13" s="10">
        <f t="shared" si="15"/>
        <v>12.399067349507959</v>
      </c>
      <c r="AO13" s="10">
        <v>137.50776405003785</v>
      </c>
      <c r="AP13" s="10">
        <f t="shared" si="16"/>
        <v>12.399067349507959</v>
      </c>
      <c r="AQ13" s="10">
        <v>125.10869670052989</v>
      </c>
      <c r="AR13" s="10">
        <f t="shared" si="17"/>
        <v>20.062112400302794</v>
      </c>
      <c r="AS13" s="10">
        <v>125.10869670052989</v>
      </c>
      <c r="AT13" s="10">
        <f t="shared" si="18"/>
        <v>20.062112400302794</v>
      </c>
      <c r="AU13" s="10">
        <v>105.0465843002271</v>
      </c>
      <c r="AV13" s="10">
        <f t="shared" si="19"/>
        <v>12.399067349507732</v>
      </c>
      <c r="AW13" s="10">
        <v>105.0465843002271</v>
      </c>
      <c r="AX13" s="10">
        <f t="shared" si="20"/>
        <v>12.399067349507732</v>
      </c>
    </row>
    <row r="14" spans="3:50" ht="18.5" thickBot="1" x14ac:dyDescent="0.6">
      <c r="C14" s="6">
        <v>7</v>
      </c>
      <c r="D14" s="33">
        <f>MOD($F$3*C14,360)</f>
        <v>242.55434835026495</v>
      </c>
      <c r="H14" s="13" t="s">
        <v>15</v>
      </c>
      <c r="I14" s="8" t="s">
        <v>8</v>
      </c>
      <c r="J14" s="8" t="s">
        <v>11</v>
      </c>
      <c r="K14" s="9" t="s">
        <v>12</v>
      </c>
      <c r="S14" s="40">
        <v>360</v>
      </c>
      <c r="T14" s="11">
        <f t="shared" si="5"/>
        <v>32.461179749810753</v>
      </c>
      <c r="U14" s="10">
        <v>327.53882025018925</v>
      </c>
      <c r="V14" s="10">
        <f t="shared" si="6"/>
        <v>52.523292150113548</v>
      </c>
      <c r="W14" s="44">
        <v>275.0155281000757</v>
      </c>
      <c r="X14" s="44">
        <f t="shared" si="7"/>
        <v>32.461179749810753</v>
      </c>
      <c r="Y14" s="10">
        <v>275.0155281000757</v>
      </c>
      <c r="Z14" s="10">
        <f t="shared" si="8"/>
        <v>32.461179749810753</v>
      </c>
      <c r="AA14" s="10">
        <v>242.55434835026495</v>
      </c>
      <c r="AB14" s="10">
        <f t="shared" si="9"/>
        <v>52.523292150113548</v>
      </c>
      <c r="AC14" s="10">
        <v>210.09316860045419</v>
      </c>
      <c r="AD14" s="10">
        <f t="shared" si="10"/>
        <v>20.062112400302794</v>
      </c>
      <c r="AE14" s="10">
        <v>210.09316860045419</v>
      </c>
      <c r="AF14" s="10">
        <f t="shared" si="11"/>
        <v>20.062112400302794</v>
      </c>
      <c r="AG14" s="10">
        <v>190.0310562001514</v>
      </c>
      <c r="AH14" s="10">
        <f t="shared" si="12"/>
        <v>32.461179749810753</v>
      </c>
      <c r="AI14" s="10">
        <v>190.0310562001514</v>
      </c>
      <c r="AJ14" s="10">
        <f t="shared" si="13"/>
        <v>32.461179749810753</v>
      </c>
      <c r="AK14" s="10">
        <v>157.56987645034064</v>
      </c>
      <c r="AL14" s="10">
        <f t="shared" si="14"/>
        <v>20.062112400302794</v>
      </c>
      <c r="AM14" s="10">
        <v>157.56987645034064</v>
      </c>
      <c r="AN14" s="10">
        <f t="shared" si="15"/>
        <v>20.062112400302794</v>
      </c>
      <c r="AO14" s="10">
        <v>157.56987645034064</v>
      </c>
      <c r="AP14" s="10">
        <f t="shared" si="16"/>
        <v>20.062112400302794</v>
      </c>
      <c r="AQ14" s="10">
        <v>137.50776405003785</v>
      </c>
      <c r="AR14" s="10">
        <f t="shared" si="17"/>
        <v>12.399067349507959</v>
      </c>
      <c r="AS14" s="10">
        <v>137.50776405003785</v>
      </c>
      <c r="AT14" s="10">
        <f t="shared" si="18"/>
        <v>12.399067349507959</v>
      </c>
      <c r="AU14" s="10">
        <v>125.10869670052989</v>
      </c>
      <c r="AV14" s="10">
        <f t="shared" si="19"/>
        <v>20.062112400302794</v>
      </c>
      <c r="AW14" s="10">
        <v>125.10869670052989</v>
      </c>
      <c r="AX14" s="10">
        <f t="shared" si="20"/>
        <v>20.062112400302794</v>
      </c>
    </row>
    <row r="15" spans="3:50" ht="18.5" thickBot="1" x14ac:dyDescent="0.6">
      <c r="C15" s="6">
        <v>8</v>
      </c>
      <c r="D15" s="33">
        <f>MOD($F$3*C15,360)</f>
        <v>20.062112400302794</v>
      </c>
      <c r="H15" s="1">
        <v>1</v>
      </c>
      <c r="I15" s="20">
        <v>0</v>
      </c>
      <c r="J15" s="20">
        <v>360</v>
      </c>
      <c r="K15" s="33">
        <f>I15/J15</f>
        <v>0</v>
      </c>
      <c r="U15" s="40">
        <v>360</v>
      </c>
      <c r="V15" s="11">
        <f t="shared" si="6"/>
        <v>32.461179749810753</v>
      </c>
      <c r="W15" s="44">
        <v>327.53882025018925</v>
      </c>
      <c r="X15" s="44">
        <f t="shared" si="7"/>
        <v>52.523292150113548</v>
      </c>
      <c r="Y15" s="10">
        <v>295.07764050037849</v>
      </c>
      <c r="Z15" s="10">
        <f t="shared" si="8"/>
        <v>20.062112400302794</v>
      </c>
      <c r="AA15" s="10">
        <v>275.0155281000757</v>
      </c>
      <c r="AB15" s="10">
        <f t="shared" si="9"/>
        <v>32.461179749810753</v>
      </c>
      <c r="AC15" s="10">
        <v>242.55434835026495</v>
      </c>
      <c r="AD15" s="10">
        <f t="shared" si="10"/>
        <v>32.461179749810753</v>
      </c>
      <c r="AE15" s="10">
        <v>242.55434835026495</v>
      </c>
      <c r="AF15" s="10">
        <f t="shared" si="11"/>
        <v>32.461179749810753</v>
      </c>
      <c r="AG15" s="10">
        <v>210.09316860045419</v>
      </c>
      <c r="AH15" s="10">
        <f t="shared" si="12"/>
        <v>20.062112400302794</v>
      </c>
      <c r="AI15" s="10">
        <v>210.09316860045419</v>
      </c>
      <c r="AJ15" s="10">
        <f t="shared" si="13"/>
        <v>20.062112400302794</v>
      </c>
      <c r="AK15" s="10">
        <v>190.0310562001514</v>
      </c>
      <c r="AL15" s="10">
        <f t="shared" si="14"/>
        <v>32.461179749810753</v>
      </c>
      <c r="AM15" s="10">
        <v>177.63198885064321</v>
      </c>
      <c r="AN15" s="10">
        <f t="shared" si="15"/>
        <v>20.062112400302567</v>
      </c>
      <c r="AO15" s="10">
        <v>177.63198885064321</v>
      </c>
      <c r="AP15" s="10">
        <f t="shared" si="16"/>
        <v>20.062112400302567</v>
      </c>
      <c r="AQ15" s="10">
        <v>157.56987645034064</v>
      </c>
      <c r="AR15" s="10">
        <f t="shared" si="17"/>
        <v>20.062112400302794</v>
      </c>
      <c r="AS15" s="10">
        <v>157.56987645034064</v>
      </c>
      <c r="AT15" s="10">
        <f t="shared" si="18"/>
        <v>20.062112400302794</v>
      </c>
      <c r="AU15" s="10">
        <v>137.50776405003785</v>
      </c>
      <c r="AV15" s="10">
        <f t="shared" si="19"/>
        <v>12.399067349507959</v>
      </c>
      <c r="AW15" s="10">
        <v>137.50776405003785</v>
      </c>
      <c r="AX15" s="10">
        <f t="shared" si="20"/>
        <v>12.399067349507959</v>
      </c>
    </row>
    <row r="16" spans="3:50" ht="18.5" thickBot="1" x14ac:dyDescent="0.6">
      <c r="C16" s="6">
        <v>9</v>
      </c>
      <c r="D16" s="33">
        <f>MOD($F$3*C16,360)</f>
        <v>157.56987645034064</v>
      </c>
      <c r="H16" s="1">
        <v>2</v>
      </c>
      <c r="I16" s="20">
        <f>_xlfn.STDEV.P(H7:H8)</f>
        <v>42.492235949962144</v>
      </c>
      <c r="J16" s="20">
        <f>AVERAGE(H7:H8)</f>
        <v>180</v>
      </c>
      <c r="K16" s="33">
        <f t="shared" ref="K16:K37" si="21">I16/J16</f>
        <v>0.23606797749978969</v>
      </c>
      <c r="W16" s="40">
        <v>360</v>
      </c>
      <c r="X16" s="45">
        <f t="shared" si="7"/>
        <v>32.461179749810753</v>
      </c>
      <c r="Y16" s="10">
        <v>327.53882025018925</v>
      </c>
      <c r="Z16" s="10">
        <f t="shared" si="8"/>
        <v>32.461179749810753</v>
      </c>
      <c r="AA16" s="10">
        <v>295.07764050037849</v>
      </c>
      <c r="AB16" s="10">
        <f t="shared" si="9"/>
        <v>20.062112400302794</v>
      </c>
      <c r="AC16" s="10">
        <v>275.0155281000757</v>
      </c>
      <c r="AD16" s="10">
        <f t="shared" si="10"/>
        <v>32.461179749810753</v>
      </c>
      <c r="AE16" s="10">
        <v>275.0155281000757</v>
      </c>
      <c r="AF16" s="10">
        <f t="shared" si="11"/>
        <v>32.461179749810753</v>
      </c>
      <c r="AG16" s="10">
        <v>242.55434835026495</v>
      </c>
      <c r="AH16" s="10">
        <f t="shared" si="12"/>
        <v>32.461179749810753</v>
      </c>
      <c r="AI16" s="10">
        <v>242.55434835026495</v>
      </c>
      <c r="AJ16" s="10">
        <f t="shared" si="13"/>
        <v>32.461179749810753</v>
      </c>
      <c r="AK16" s="10">
        <v>210.09316860045419</v>
      </c>
      <c r="AL16" s="10">
        <f t="shared" si="14"/>
        <v>20.062112400302794</v>
      </c>
      <c r="AM16" s="10">
        <v>190.0310562001514</v>
      </c>
      <c r="AN16" s="10">
        <f t="shared" si="15"/>
        <v>12.399067349508186</v>
      </c>
      <c r="AO16" s="10">
        <v>190.0310562001514</v>
      </c>
      <c r="AP16" s="10">
        <f t="shared" si="16"/>
        <v>12.399067349508186</v>
      </c>
      <c r="AQ16" s="10">
        <v>177.63198885064321</v>
      </c>
      <c r="AR16" s="10">
        <f t="shared" si="17"/>
        <v>20.062112400302567</v>
      </c>
      <c r="AS16" s="10">
        <v>177.63198885064321</v>
      </c>
      <c r="AT16" s="10">
        <f t="shared" si="18"/>
        <v>20.062112400302567</v>
      </c>
      <c r="AU16" s="10">
        <v>157.56987645034064</v>
      </c>
      <c r="AV16" s="10">
        <f t="shared" si="19"/>
        <v>20.062112400302794</v>
      </c>
      <c r="AW16" s="10">
        <v>145.17080910083268</v>
      </c>
      <c r="AX16" s="10">
        <f t="shared" si="20"/>
        <v>7.6630450507948353</v>
      </c>
    </row>
    <row r="17" spans="3:50" ht="18.5" thickBot="1" x14ac:dyDescent="0.6">
      <c r="C17" s="6">
        <v>10</v>
      </c>
      <c r="D17" s="33">
        <f>MOD($F$3*C17,360)</f>
        <v>295.07764050037849</v>
      </c>
      <c r="H17" s="1">
        <v>3</v>
      </c>
      <c r="I17" s="20">
        <f>_xlfn.STDEV.P(J7:J9)</f>
        <v>24.759717366391616</v>
      </c>
      <c r="J17" s="20">
        <f>AVERAGE(J7:J9)</f>
        <v>120</v>
      </c>
      <c r="K17" s="33">
        <f t="shared" si="21"/>
        <v>0.20633097805326348</v>
      </c>
      <c r="Y17" s="40">
        <v>360</v>
      </c>
      <c r="Z17" s="11">
        <f t="shared" si="8"/>
        <v>32.461179749810753</v>
      </c>
      <c r="AA17" s="10">
        <v>327.53882025018925</v>
      </c>
      <c r="AB17" s="10">
        <f t="shared" si="9"/>
        <v>32.461179749810753</v>
      </c>
      <c r="AC17" s="10">
        <v>295.07764050037849</v>
      </c>
      <c r="AD17" s="10">
        <f t="shared" si="10"/>
        <v>20.062112400302794</v>
      </c>
      <c r="AE17" s="10">
        <v>295.07764050037849</v>
      </c>
      <c r="AF17" s="10">
        <f t="shared" si="11"/>
        <v>20.062112400302794</v>
      </c>
      <c r="AG17" s="10">
        <v>275.0155281000757</v>
      </c>
      <c r="AH17" s="10">
        <f t="shared" si="12"/>
        <v>32.461179749810753</v>
      </c>
      <c r="AI17" s="10">
        <v>262.61646075056797</v>
      </c>
      <c r="AJ17" s="10">
        <f t="shared" si="13"/>
        <v>20.062112400303022</v>
      </c>
      <c r="AK17" s="10">
        <v>242.55434835026495</v>
      </c>
      <c r="AL17" s="10">
        <f t="shared" si="14"/>
        <v>32.461179749810753</v>
      </c>
      <c r="AM17" s="10">
        <v>210.09316860045419</v>
      </c>
      <c r="AN17" s="10">
        <f t="shared" si="15"/>
        <v>20.062112400302794</v>
      </c>
      <c r="AO17" s="10">
        <v>210.09316860045419</v>
      </c>
      <c r="AP17" s="10">
        <f t="shared" si="16"/>
        <v>20.062112400302794</v>
      </c>
      <c r="AQ17" s="10">
        <v>190.0310562001514</v>
      </c>
      <c r="AR17" s="10">
        <f t="shared" si="17"/>
        <v>12.399067349508186</v>
      </c>
      <c r="AS17" s="10">
        <v>190.0310562001514</v>
      </c>
      <c r="AT17" s="10">
        <f t="shared" si="18"/>
        <v>12.399067349508186</v>
      </c>
      <c r="AU17" s="10">
        <v>177.63198885064321</v>
      </c>
      <c r="AV17" s="10">
        <f t="shared" si="19"/>
        <v>20.062112400302567</v>
      </c>
      <c r="AW17" s="10">
        <v>157.56987645034064</v>
      </c>
      <c r="AX17" s="10">
        <f t="shared" si="20"/>
        <v>12.399067349507959</v>
      </c>
    </row>
    <row r="18" spans="3:50" ht="18.5" thickBot="1" x14ac:dyDescent="0.6">
      <c r="C18" s="6">
        <v>11</v>
      </c>
      <c r="D18" s="33">
        <f>MOD($F$3*C18,360)</f>
        <v>72.585404550416342</v>
      </c>
      <c r="H18" s="1">
        <v>4</v>
      </c>
      <c r="I18" s="20">
        <f>_xlfn.STDEV.P(L7:L10)</f>
        <v>30.462281269403931</v>
      </c>
      <c r="J18" s="20">
        <f>AVERAGE(L7:L10)</f>
        <v>90</v>
      </c>
      <c r="K18" s="33">
        <f t="shared" si="21"/>
        <v>0.33846979188226589</v>
      </c>
      <c r="AA18" s="40">
        <v>360</v>
      </c>
      <c r="AB18" s="11">
        <f t="shared" si="9"/>
        <v>32.461179749810753</v>
      </c>
      <c r="AC18" s="10">
        <v>327.53882025018925</v>
      </c>
      <c r="AD18" s="10">
        <f t="shared" si="10"/>
        <v>32.461179749810753</v>
      </c>
      <c r="AE18" s="10">
        <v>327.53882025018925</v>
      </c>
      <c r="AF18" s="10">
        <f t="shared" si="11"/>
        <v>32.461179749810753</v>
      </c>
      <c r="AG18" s="10">
        <v>295.07764050037849</v>
      </c>
      <c r="AH18" s="10">
        <f t="shared" si="12"/>
        <v>20.062112400302794</v>
      </c>
      <c r="AI18" s="10">
        <v>275.0155281000757</v>
      </c>
      <c r="AJ18" s="10">
        <f t="shared" si="13"/>
        <v>12.399067349507732</v>
      </c>
      <c r="AK18" s="10">
        <v>262.61646075056797</v>
      </c>
      <c r="AL18" s="10">
        <f t="shared" si="14"/>
        <v>20.062112400303022</v>
      </c>
      <c r="AM18" s="10">
        <v>242.55434835026495</v>
      </c>
      <c r="AN18" s="10">
        <f t="shared" si="15"/>
        <v>32.461179749810753</v>
      </c>
      <c r="AO18" s="10">
        <v>242.55434835026495</v>
      </c>
      <c r="AP18" s="10">
        <f t="shared" si="16"/>
        <v>32.461179749810753</v>
      </c>
      <c r="AQ18" s="10">
        <v>210.09316860045419</v>
      </c>
      <c r="AR18" s="10">
        <f t="shared" si="17"/>
        <v>20.062112400302794</v>
      </c>
      <c r="AS18" s="10">
        <v>210.09316860045419</v>
      </c>
      <c r="AT18" s="10">
        <f t="shared" si="18"/>
        <v>20.062112400302794</v>
      </c>
      <c r="AU18" s="10">
        <v>190.0310562001514</v>
      </c>
      <c r="AV18" s="10">
        <f t="shared" si="19"/>
        <v>12.399067349508186</v>
      </c>
      <c r="AW18" s="10">
        <v>177.63198885064321</v>
      </c>
      <c r="AX18" s="10">
        <f t="shared" si="20"/>
        <v>20.062112400302567</v>
      </c>
    </row>
    <row r="19" spans="3:50" ht="18.5" thickBot="1" x14ac:dyDescent="0.6">
      <c r="C19" s="6">
        <v>12</v>
      </c>
      <c r="D19" s="33">
        <f>MOD($F$3*C19,360)</f>
        <v>210.09316860045419</v>
      </c>
      <c r="H19" s="1">
        <v>5</v>
      </c>
      <c r="I19" s="20">
        <f>_xlfn.STDEV.P(N7:N11)</f>
        <v>15.902665367160497</v>
      </c>
      <c r="J19" s="20">
        <f>AVERAGE(N7:N11)</f>
        <v>72</v>
      </c>
      <c r="K19" s="33">
        <f t="shared" si="21"/>
        <v>0.22087035232167357</v>
      </c>
      <c r="AC19" s="40">
        <v>360</v>
      </c>
      <c r="AD19" s="11">
        <f t="shared" si="10"/>
        <v>32.461179749810753</v>
      </c>
      <c r="AE19" s="10">
        <v>347.60093265049204</v>
      </c>
      <c r="AF19" s="10">
        <f t="shared" si="11"/>
        <v>20.062112400302794</v>
      </c>
      <c r="AG19" s="10">
        <v>327.53882025018925</v>
      </c>
      <c r="AH19" s="10">
        <f t="shared" si="12"/>
        <v>32.461179749810753</v>
      </c>
      <c r="AI19" s="10">
        <v>295.07764050037849</v>
      </c>
      <c r="AJ19" s="10">
        <f t="shared" si="13"/>
        <v>20.062112400302794</v>
      </c>
      <c r="AK19" s="10">
        <v>275.0155281000757</v>
      </c>
      <c r="AL19" s="10">
        <f t="shared" si="14"/>
        <v>12.399067349507732</v>
      </c>
      <c r="AM19" s="10">
        <v>262.61646075056797</v>
      </c>
      <c r="AN19" s="10">
        <f t="shared" si="15"/>
        <v>20.062112400303022</v>
      </c>
      <c r="AO19" s="10">
        <v>262.61646075056797</v>
      </c>
      <c r="AP19" s="10">
        <f t="shared" si="16"/>
        <v>20.062112400303022</v>
      </c>
      <c r="AQ19" s="10">
        <v>242.55434835026495</v>
      </c>
      <c r="AR19" s="10">
        <f t="shared" si="17"/>
        <v>32.461179749810753</v>
      </c>
      <c r="AS19" s="10">
        <v>230.15528100075699</v>
      </c>
      <c r="AT19" s="10">
        <f t="shared" si="18"/>
        <v>20.062112400302794</v>
      </c>
      <c r="AU19" s="10">
        <v>210.09316860045419</v>
      </c>
      <c r="AV19" s="10">
        <f t="shared" si="19"/>
        <v>20.062112400302794</v>
      </c>
      <c r="AW19" s="10">
        <v>190.0310562001514</v>
      </c>
      <c r="AX19" s="10">
        <f t="shared" si="20"/>
        <v>12.399067349508186</v>
      </c>
    </row>
    <row r="20" spans="3:50" ht="18.5" thickBot="1" x14ac:dyDescent="0.6">
      <c r="C20" s="6">
        <v>13</v>
      </c>
      <c r="D20" s="33">
        <f>MOD($F$3*C20,360)</f>
        <v>347.60093265049204</v>
      </c>
      <c r="H20" s="1">
        <v>6</v>
      </c>
      <c r="I20" s="20">
        <f>_xlfn.STDEV.P(P7:P12)</f>
        <v>19.037409548159431</v>
      </c>
      <c r="J20" s="20">
        <f>AVERAGE(P7:P12)</f>
        <v>60</v>
      </c>
      <c r="K20" s="33">
        <f t="shared" si="21"/>
        <v>0.31729015913599051</v>
      </c>
      <c r="AE20" s="40">
        <v>360</v>
      </c>
      <c r="AF20" s="11">
        <f t="shared" si="11"/>
        <v>12.399067349507959</v>
      </c>
      <c r="AG20" s="10">
        <v>347.60093265049204</v>
      </c>
      <c r="AH20" s="10">
        <f t="shared" si="12"/>
        <v>20.062112400302794</v>
      </c>
      <c r="AI20" s="10">
        <v>327.53882025018925</v>
      </c>
      <c r="AJ20" s="10">
        <f t="shared" si="13"/>
        <v>32.461179749810753</v>
      </c>
      <c r="AK20" s="10">
        <v>295.07764050037849</v>
      </c>
      <c r="AL20" s="10">
        <f t="shared" si="14"/>
        <v>20.062112400302794</v>
      </c>
      <c r="AM20" s="10">
        <v>275.0155281000757</v>
      </c>
      <c r="AN20" s="10">
        <f t="shared" si="15"/>
        <v>12.399067349507732</v>
      </c>
      <c r="AO20" s="10">
        <v>275.0155281000757</v>
      </c>
      <c r="AP20" s="10">
        <f t="shared" si="16"/>
        <v>12.399067349507732</v>
      </c>
      <c r="AQ20" s="10">
        <v>262.61646075056797</v>
      </c>
      <c r="AR20" s="10">
        <f t="shared" si="17"/>
        <v>20.062112400303022</v>
      </c>
      <c r="AS20" s="10">
        <v>242.55434835026495</v>
      </c>
      <c r="AT20" s="10">
        <f t="shared" si="18"/>
        <v>12.399067349507959</v>
      </c>
      <c r="AU20" s="10">
        <v>230.15528100075699</v>
      </c>
      <c r="AV20" s="10">
        <f t="shared" si="19"/>
        <v>20.062112400302794</v>
      </c>
      <c r="AW20" s="10">
        <v>210.09316860045419</v>
      </c>
      <c r="AX20" s="10">
        <f t="shared" si="20"/>
        <v>20.062112400302794</v>
      </c>
    </row>
    <row r="21" spans="3:50" ht="18.5" thickBot="1" x14ac:dyDescent="0.6">
      <c r="C21" s="6">
        <v>14</v>
      </c>
      <c r="D21" s="33">
        <f>MOD($F$3*C21,360)</f>
        <v>125.10869670052989</v>
      </c>
      <c r="H21" s="1">
        <v>7</v>
      </c>
      <c r="I21" s="20">
        <f>_xlfn.STDEV.P(R7:R13)</f>
        <v>16.258255065689255</v>
      </c>
      <c r="J21" s="20">
        <f>AVERAGE(R7:R13)</f>
        <v>51.428571428571431</v>
      </c>
      <c r="K21" s="33">
        <f t="shared" si="21"/>
        <v>0.3161327373884022</v>
      </c>
      <c r="AG21" s="40">
        <v>360</v>
      </c>
      <c r="AH21" s="11">
        <f t="shared" si="12"/>
        <v>12.399067349507959</v>
      </c>
      <c r="AI21" s="10">
        <v>347.60093265049204</v>
      </c>
      <c r="AJ21" s="10">
        <f t="shared" si="13"/>
        <v>20.062112400302794</v>
      </c>
      <c r="AK21" s="10">
        <v>327.53882025018925</v>
      </c>
      <c r="AL21" s="10">
        <f t="shared" si="14"/>
        <v>32.461179749810753</v>
      </c>
      <c r="AM21" s="10">
        <v>295.07764050037849</v>
      </c>
      <c r="AN21" s="10">
        <f t="shared" si="15"/>
        <v>20.062112400302794</v>
      </c>
      <c r="AO21" s="10">
        <v>295.07764050037849</v>
      </c>
      <c r="AP21" s="10">
        <f t="shared" si="16"/>
        <v>20.062112400302794</v>
      </c>
      <c r="AQ21" s="10">
        <v>275.0155281000757</v>
      </c>
      <c r="AR21" s="10">
        <f t="shared" si="17"/>
        <v>12.399067349507732</v>
      </c>
      <c r="AS21" s="10">
        <v>262.61646075056797</v>
      </c>
      <c r="AT21" s="10">
        <f t="shared" si="18"/>
        <v>20.062112400303022</v>
      </c>
      <c r="AU21" s="10">
        <v>242.55434835026495</v>
      </c>
      <c r="AV21" s="10">
        <f t="shared" si="19"/>
        <v>12.399067349507959</v>
      </c>
      <c r="AW21" s="10">
        <v>230.15528100075699</v>
      </c>
      <c r="AX21" s="10">
        <f t="shared" si="20"/>
        <v>20.062112400302794</v>
      </c>
    </row>
    <row r="22" spans="3:50" ht="18.5" thickBot="1" x14ac:dyDescent="0.6">
      <c r="C22" s="6">
        <v>15</v>
      </c>
      <c r="D22" s="33">
        <f>MOD($F$3*C22,360)</f>
        <v>262.61646075056797</v>
      </c>
      <c r="H22" s="1">
        <v>8</v>
      </c>
      <c r="I22" s="20">
        <f>_xlfn.STDEV.P(T7:T14)</f>
        <v>9.7125284020142555</v>
      </c>
      <c r="J22" s="20">
        <f>AVERAGE(T7:T14)</f>
        <v>45</v>
      </c>
      <c r="K22" s="33">
        <f t="shared" si="21"/>
        <v>0.21583396448920567</v>
      </c>
      <c r="AI22" s="40">
        <v>360</v>
      </c>
      <c r="AJ22" s="11">
        <f t="shared" si="13"/>
        <v>12.399067349507959</v>
      </c>
      <c r="AK22" s="10">
        <v>347.60093265049204</v>
      </c>
      <c r="AL22" s="10">
        <f t="shared" si="14"/>
        <v>20.062112400302794</v>
      </c>
      <c r="AM22" s="10">
        <v>327.53882025018925</v>
      </c>
      <c r="AN22" s="10">
        <f t="shared" si="15"/>
        <v>32.461179749810753</v>
      </c>
      <c r="AO22" s="10">
        <v>315.13975290068129</v>
      </c>
      <c r="AP22" s="10">
        <f t="shared" si="16"/>
        <v>20.062112400302794</v>
      </c>
      <c r="AQ22" s="10">
        <v>295.07764050037849</v>
      </c>
      <c r="AR22" s="10">
        <f t="shared" si="17"/>
        <v>20.062112400302794</v>
      </c>
      <c r="AS22" s="10">
        <v>275.0155281000757</v>
      </c>
      <c r="AT22" s="10">
        <f t="shared" si="18"/>
        <v>12.399067349507732</v>
      </c>
      <c r="AU22" s="10">
        <v>262.61646075056797</v>
      </c>
      <c r="AV22" s="10">
        <f t="shared" si="19"/>
        <v>20.062112400303022</v>
      </c>
      <c r="AW22" s="10">
        <v>242.55434835026495</v>
      </c>
      <c r="AX22" s="10">
        <f t="shared" si="20"/>
        <v>12.399067349507959</v>
      </c>
    </row>
    <row r="23" spans="3:50" ht="18.5" thickBot="1" x14ac:dyDescent="0.6">
      <c r="C23" s="6">
        <v>16</v>
      </c>
      <c r="D23" s="33">
        <f>MOD($F$3*C23,360)</f>
        <v>40.124224800605589</v>
      </c>
      <c r="H23" s="1">
        <v>9</v>
      </c>
      <c r="I23" s="20">
        <f>_xlfn.STDEV.P(V7:V15)</f>
        <v>11.795413374628083</v>
      </c>
      <c r="J23" s="20">
        <f>AVERAGE(V7:V15)</f>
        <v>40</v>
      </c>
      <c r="K23" s="33">
        <f t="shared" si="21"/>
        <v>0.29488533436570208</v>
      </c>
      <c r="AK23" s="40">
        <v>360</v>
      </c>
      <c r="AL23" s="11">
        <f t="shared" si="14"/>
        <v>12.399067349507959</v>
      </c>
      <c r="AM23" s="10">
        <v>347.60093265049204</v>
      </c>
      <c r="AN23" s="10">
        <f t="shared" si="15"/>
        <v>20.062112400302794</v>
      </c>
      <c r="AO23" s="10">
        <v>327.53882025018925</v>
      </c>
      <c r="AP23" s="10">
        <f t="shared" si="16"/>
        <v>12.399067349507959</v>
      </c>
      <c r="AQ23" s="10">
        <v>315.13975290068129</v>
      </c>
      <c r="AR23" s="10">
        <f t="shared" si="17"/>
        <v>20.062112400302794</v>
      </c>
      <c r="AS23" s="10">
        <v>295.07764050037849</v>
      </c>
      <c r="AT23" s="10">
        <f t="shared" si="18"/>
        <v>20.062112400302794</v>
      </c>
      <c r="AU23" s="10">
        <v>275.0155281000757</v>
      </c>
      <c r="AV23" s="10">
        <f t="shared" si="19"/>
        <v>12.399067349507732</v>
      </c>
      <c r="AW23" s="10">
        <v>262.61646075056797</v>
      </c>
      <c r="AX23" s="10">
        <f t="shared" si="20"/>
        <v>20.062112400303022</v>
      </c>
    </row>
    <row r="24" spans="3:50" ht="18.5" thickBot="1" x14ac:dyDescent="0.6">
      <c r="C24" s="6">
        <v>17</v>
      </c>
      <c r="D24" s="33">
        <f>MOD($F$3*C24,360)</f>
        <v>177.63198885064321</v>
      </c>
      <c r="H24" s="1">
        <v>10</v>
      </c>
      <c r="I24" s="20">
        <f>_xlfn.STDEV.P(X7:X16)</f>
        <v>11.788580561420119</v>
      </c>
      <c r="J24" s="20">
        <f>AVERAGE(X7:X16)</f>
        <v>36</v>
      </c>
      <c r="K24" s="33">
        <f t="shared" si="21"/>
        <v>0.32746057115055888</v>
      </c>
      <c r="AM24" s="40">
        <v>360</v>
      </c>
      <c r="AN24" s="11">
        <f t="shared" si="15"/>
        <v>12.399067349507959</v>
      </c>
      <c r="AO24" s="10">
        <v>347.60093265049204</v>
      </c>
      <c r="AP24" s="10">
        <f t="shared" si="16"/>
        <v>20.062112400302794</v>
      </c>
      <c r="AQ24" s="10">
        <v>327.53882025018925</v>
      </c>
      <c r="AR24" s="10">
        <f t="shared" si="17"/>
        <v>12.399067349507959</v>
      </c>
      <c r="AS24" s="10">
        <v>315.13975290068129</v>
      </c>
      <c r="AT24" s="10">
        <f t="shared" si="18"/>
        <v>20.062112400302794</v>
      </c>
      <c r="AU24" s="10">
        <v>295.07764050037849</v>
      </c>
      <c r="AV24" s="10">
        <f t="shared" si="19"/>
        <v>20.062112400302794</v>
      </c>
      <c r="AW24" s="10">
        <v>275.0155281000757</v>
      </c>
      <c r="AX24" s="10">
        <f t="shared" si="20"/>
        <v>12.399067349507732</v>
      </c>
    </row>
    <row r="25" spans="3:50" ht="18.5" thickBot="1" x14ac:dyDescent="0.6">
      <c r="C25" s="6">
        <v>18</v>
      </c>
      <c r="D25" s="33">
        <f>MOD($F$3*C25,360)</f>
        <v>315.13975290068129</v>
      </c>
      <c r="H25" s="1">
        <v>11</v>
      </c>
      <c r="I25" s="20">
        <f>_xlfn.STDEV.P(Z7:Z17)</f>
        <v>10.725536482189124</v>
      </c>
      <c r="J25" s="20">
        <f>AVERAGE(Z7:Z17)</f>
        <v>32.727272727272727</v>
      </c>
      <c r="K25" s="33">
        <f t="shared" si="21"/>
        <v>0.32772472584466766</v>
      </c>
      <c r="AO25" s="40">
        <v>360</v>
      </c>
      <c r="AP25" s="11">
        <f t="shared" si="16"/>
        <v>12.399067349507959</v>
      </c>
      <c r="AQ25" s="10">
        <v>347.60093265049204</v>
      </c>
      <c r="AR25" s="10">
        <f t="shared" si="17"/>
        <v>20.062112400302794</v>
      </c>
      <c r="AS25" s="10">
        <v>327.53882025018925</v>
      </c>
      <c r="AT25" s="10">
        <f t="shared" si="18"/>
        <v>12.399067349507959</v>
      </c>
      <c r="AU25" s="10">
        <v>315.13975290068129</v>
      </c>
      <c r="AV25" s="10">
        <f t="shared" si="19"/>
        <v>20.062112400302794</v>
      </c>
      <c r="AW25" s="10">
        <v>295.07764050037849</v>
      </c>
      <c r="AX25" s="10">
        <f t="shared" si="20"/>
        <v>20.062112400302794</v>
      </c>
    </row>
    <row r="26" spans="3:50" ht="18.5" thickBot="1" x14ac:dyDescent="0.6">
      <c r="C26" s="6">
        <v>19</v>
      </c>
      <c r="D26" s="33">
        <f>MOD($F$3*C26,360)</f>
        <v>92.647516950719364</v>
      </c>
      <c r="H26" s="1">
        <v>12</v>
      </c>
      <c r="I26" s="20">
        <f>_xlfn.STDEV.P(AB7:AB18)</f>
        <v>8.8729315400941733</v>
      </c>
      <c r="J26" s="20">
        <f>AVERAGE(AB7:AB18)</f>
        <v>30</v>
      </c>
      <c r="K26" s="33">
        <f t="shared" si="21"/>
        <v>0.29576438466980576</v>
      </c>
      <c r="AQ26" s="40">
        <v>360</v>
      </c>
      <c r="AR26" s="11">
        <f t="shared" si="17"/>
        <v>12.399067349507959</v>
      </c>
      <c r="AS26" s="10">
        <v>347.60093265049204</v>
      </c>
      <c r="AT26" s="10">
        <f t="shared" si="18"/>
        <v>20.062112400302794</v>
      </c>
      <c r="AU26" s="10">
        <v>327.53882025018925</v>
      </c>
      <c r="AV26" s="10">
        <f t="shared" si="19"/>
        <v>12.399067349507959</v>
      </c>
      <c r="AW26" s="10">
        <v>315.13975290068129</v>
      </c>
      <c r="AX26" s="10">
        <f t="shared" si="20"/>
        <v>20.062112400302794</v>
      </c>
    </row>
    <row r="27" spans="3:50" ht="18.5" thickBot="1" x14ac:dyDescent="0.6">
      <c r="C27" s="6">
        <v>20</v>
      </c>
      <c r="D27" s="33">
        <f>MOD($F$3*C27,360)</f>
        <v>230.15528100075699</v>
      </c>
      <c r="H27" s="1">
        <v>13</v>
      </c>
      <c r="I27" s="20">
        <f>_xlfn.STDEV.P(AD7:AD19)</f>
        <v>6.0321990286572458</v>
      </c>
      <c r="J27" s="20">
        <f>AVERAGE(AD7:AD19)</f>
        <v>27.692307692307693</v>
      </c>
      <c r="K27" s="33">
        <f t="shared" si="21"/>
        <v>0.21782940936817832</v>
      </c>
      <c r="AS27" s="40">
        <v>360</v>
      </c>
      <c r="AT27" s="11">
        <f t="shared" si="18"/>
        <v>12.399067349507959</v>
      </c>
      <c r="AU27" s="10">
        <v>347.60093265049204</v>
      </c>
      <c r="AV27" s="10">
        <f t="shared" si="19"/>
        <v>20.062112400302794</v>
      </c>
      <c r="AW27" s="10">
        <v>327.53882025018925</v>
      </c>
      <c r="AX27" s="10">
        <f t="shared" si="20"/>
        <v>12.399067349507959</v>
      </c>
    </row>
    <row r="28" spans="3:50" ht="18.5" thickBot="1" x14ac:dyDescent="0.6">
      <c r="C28" s="6">
        <v>21</v>
      </c>
      <c r="D28" s="33">
        <f>MOD($F$3*C28,360)</f>
        <v>7.663045050794608</v>
      </c>
      <c r="H28" s="1">
        <v>14</v>
      </c>
      <c r="I28" s="20">
        <f>_xlfn.STDEV.P(AF7:AF20)</f>
        <v>7.0082679387366733</v>
      </c>
      <c r="J28" s="20">
        <f>AVERAGE(AF7:AF20)</f>
        <v>25.714285714285715</v>
      </c>
      <c r="K28" s="33">
        <f t="shared" si="21"/>
        <v>0.27254375317309282</v>
      </c>
      <c r="AU28" s="40">
        <v>360</v>
      </c>
      <c r="AV28" s="11">
        <f t="shared" si="19"/>
        <v>12.399067349507959</v>
      </c>
      <c r="AW28" s="10">
        <v>347.60093265049204</v>
      </c>
      <c r="AX28" s="10">
        <f t="shared" si="20"/>
        <v>20.062112400302794</v>
      </c>
    </row>
    <row r="29" spans="3:50" ht="18.5" thickBot="1" x14ac:dyDescent="0.6">
      <c r="C29" s="6">
        <v>22</v>
      </c>
      <c r="D29" s="33">
        <f>MOD($F$3*C29,360)</f>
        <v>145.17080910083268</v>
      </c>
      <c r="H29" s="1">
        <v>15</v>
      </c>
      <c r="I29" s="20">
        <f>_xlfn.STDEV.P(AH7:AH21)</f>
        <v>7.3360360073139113</v>
      </c>
      <c r="J29" s="20">
        <f>AVERAGE(AH7:AH21)</f>
        <v>24</v>
      </c>
      <c r="K29" s="33">
        <f t="shared" si="21"/>
        <v>0.30566816697141297</v>
      </c>
      <c r="AW29" s="40">
        <v>360</v>
      </c>
      <c r="AX29" s="11">
        <f t="shared" si="20"/>
        <v>12.399067349507959</v>
      </c>
    </row>
    <row r="30" spans="3:50" x14ac:dyDescent="0.55000000000000004">
      <c r="C30" s="6">
        <v>23</v>
      </c>
      <c r="D30" s="33">
        <f>MOD($F$3*C30,360)</f>
        <v>282.67857315087076</v>
      </c>
      <c r="H30" s="1">
        <v>16</v>
      </c>
      <c r="I30" s="20">
        <f>_xlfn.STDEV.P(AJ7:AJ22)</f>
        <v>7.2876539385953567</v>
      </c>
      <c r="J30" s="20">
        <f>AVERAGE(AJ7:AJ22)</f>
        <v>22.5</v>
      </c>
      <c r="K30" s="33">
        <f t="shared" si="21"/>
        <v>0.3238957306042381</v>
      </c>
    </row>
    <row r="31" spans="3:50" x14ac:dyDescent="0.55000000000000004">
      <c r="C31" s="6">
        <v>24</v>
      </c>
      <c r="D31" s="33">
        <f>MOD($F$3*C31,360)</f>
        <v>60.186337200908383</v>
      </c>
      <c r="H31" s="1">
        <v>17</v>
      </c>
      <c r="I31" s="20">
        <f>_xlfn.STDEV.P(AL7:AL23)</f>
        <v>6.9820190129207598</v>
      </c>
      <c r="J31" s="20">
        <f>AVERAGE(AL7:AL23)</f>
        <v>21.176470588235293</v>
      </c>
      <c r="K31" s="33">
        <f t="shared" si="21"/>
        <v>0.32970645338792476</v>
      </c>
    </row>
    <row r="32" spans="3:50" x14ac:dyDescent="0.55000000000000004">
      <c r="C32" s="6">
        <v>25</v>
      </c>
      <c r="D32" s="33">
        <f>MOD($F$3*C32,360)</f>
        <v>197.69410125094601</v>
      </c>
      <c r="H32" s="1">
        <v>18</v>
      </c>
      <c r="I32" s="20">
        <f>_xlfn.STDEV.P(AN7:AN24)</f>
        <v>6.4753913119018609</v>
      </c>
      <c r="J32" s="20">
        <f>AVERAGE(AN7:AN24)</f>
        <v>20</v>
      </c>
      <c r="K32" s="33">
        <f t="shared" si="21"/>
        <v>0.32376956559509307</v>
      </c>
    </row>
    <row r="33" spans="3:11" x14ac:dyDescent="0.55000000000000004">
      <c r="C33" s="6">
        <v>26</v>
      </c>
      <c r="D33" s="33">
        <f>MOD($F$3*C33,360)</f>
        <v>335.20186530098408</v>
      </c>
      <c r="H33" s="1">
        <v>19</v>
      </c>
      <c r="I33" s="20">
        <f>_xlfn.STDEV.P(AP7:AP25)</f>
        <v>5.7865400548992714</v>
      </c>
      <c r="J33" s="20">
        <f>AVERAGE(AP7:AP25)</f>
        <v>18.94736842105263</v>
      </c>
      <c r="K33" s="33">
        <f t="shared" si="21"/>
        <v>0.3054007251196838</v>
      </c>
    </row>
    <row r="34" spans="3:11" x14ac:dyDescent="0.55000000000000004">
      <c r="C34" s="6">
        <v>27</v>
      </c>
      <c r="D34" s="33">
        <f>MOD($F$3*C34,360)</f>
        <v>112.70962935102216</v>
      </c>
      <c r="H34" s="1">
        <v>20</v>
      </c>
      <c r="I34" s="20">
        <f>_xlfn.STDEV.P(AR7:AR26)</f>
        <v>4.8976858630457558</v>
      </c>
      <c r="J34" s="20">
        <f>AVERAGE(AR7:AR26)</f>
        <v>18</v>
      </c>
      <c r="K34" s="33">
        <f t="shared" si="21"/>
        <v>0.27209365905809757</v>
      </c>
    </row>
    <row r="35" spans="3:11" x14ac:dyDescent="0.55000000000000004">
      <c r="C35" s="6">
        <v>28</v>
      </c>
      <c r="D35" s="33">
        <f>MOD($F$3*C35,360)</f>
        <v>250.21739340105978</v>
      </c>
      <c r="H35" s="1">
        <v>21</v>
      </c>
      <c r="I35" s="20">
        <f>_xlfn.STDEV.P(AT7:AT27)</f>
        <v>3.7213348807184476</v>
      </c>
      <c r="J35" s="20">
        <f>AVERAGE(AT7:AT27)</f>
        <v>17.142857142857142</v>
      </c>
      <c r="K35" s="33">
        <f t="shared" si="21"/>
        <v>0.21707786804190946</v>
      </c>
    </row>
    <row r="36" spans="3:11" x14ac:dyDescent="0.55000000000000004">
      <c r="C36" s="6">
        <v>29</v>
      </c>
      <c r="D36" s="33">
        <f>MOD($F$3*C36,360)</f>
        <v>27.725157451097402</v>
      </c>
      <c r="H36" s="1">
        <v>22</v>
      </c>
      <c r="I36" s="20">
        <f>_xlfn.STDEV.P(AV7:AV28)</f>
        <v>4.1631787261480211</v>
      </c>
      <c r="J36" s="20">
        <f>AVERAGE(AV7:AV28)</f>
        <v>16.363636363636363</v>
      </c>
      <c r="K36" s="33">
        <f t="shared" si="21"/>
        <v>0.25441647770904574</v>
      </c>
    </row>
    <row r="37" spans="3:11" ht="18.5" thickBot="1" x14ac:dyDescent="0.6">
      <c r="C37" s="7">
        <v>30</v>
      </c>
      <c r="D37" s="3">
        <f>MOD($F$3*C37,360)</f>
        <v>165.23292150113593</v>
      </c>
      <c r="H37" s="2">
        <v>23</v>
      </c>
      <c r="I37" s="23">
        <f>_xlfn.STDEV.P(AX7:AX29)</f>
        <v>4.4104742679411499</v>
      </c>
      <c r="J37" s="23">
        <f>AVERAGE(AX7:AX29)</f>
        <v>15.652173913043478</v>
      </c>
      <c r="K37" s="3">
        <f t="shared" si="21"/>
        <v>0.2817803004517957</v>
      </c>
    </row>
    <row r="38" spans="3:11" x14ac:dyDescent="0.55000000000000004">
      <c r="C38" s="32"/>
      <c r="D38" s="32"/>
    </row>
    <row r="39" spans="3:11" x14ac:dyDescent="0.55000000000000004">
      <c r="C39" s="32"/>
      <c r="D39" s="32"/>
    </row>
    <row r="40" spans="3:11" x14ac:dyDescent="0.55000000000000004">
      <c r="C40" s="32"/>
      <c r="D40" s="32"/>
    </row>
    <row r="41" spans="3:11" x14ac:dyDescent="0.55000000000000004">
      <c r="C41" s="32"/>
      <c r="D41" s="32"/>
    </row>
    <row r="42" spans="3:11" x14ac:dyDescent="0.55000000000000004">
      <c r="C42" s="32"/>
      <c r="D42" s="32"/>
    </row>
    <row r="43" spans="3:11" x14ac:dyDescent="0.55000000000000004">
      <c r="C43" s="32"/>
      <c r="D43" s="32"/>
    </row>
    <row r="44" spans="3:11" x14ac:dyDescent="0.55000000000000004">
      <c r="C44" s="32"/>
      <c r="D44" s="32"/>
    </row>
    <row r="45" spans="3:11" x14ac:dyDescent="0.55000000000000004">
      <c r="C45" s="32"/>
      <c r="D45" s="32"/>
    </row>
    <row r="46" spans="3:11" x14ac:dyDescent="0.55000000000000004">
      <c r="C46" s="32"/>
      <c r="D46" s="32"/>
    </row>
    <row r="47" spans="3:11" x14ac:dyDescent="0.55000000000000004">
      <c r="C47" s="32"/>
      <c r="D47" s="32"/>
    </row>
    <row r="48" spans="3:11" x14ac:dyDescent="0.55000000000000004">
      <c r="C48" s="32"/>
      <c r="D48" s="32"/>
    </row>
    <row r="49" spans="3:4" x14ac:dyDescent="0.55000000000000004">
      <c r="C49" s="32"/>
      <c r="D49" s="32"/>
    </row>
    <row r="50" spans="3:4" x14ac:dyDescent="0.55000000000000004">
      <c r="C50" s="32"/>
      <c r="D50" s="32"/>
    </row>
    <row r="51" spans="3:4" x14ac:dyDescent="0.55000000000000004">
      <c r="C51" s="32"/>
      <c r="D51" s="32"/>
    </row>
    <row r="52" spans="3:4" x14ac:dyDescent="0.55000000000000004">
      <c r="C52" s="32"/>
      <c r="D52" s="32"/>
    </row>
    <row r="53" spans="3:4" x14ac:dyDescent="0.55000000000000004">
      <c r="C53" s="32"/>
      <c r="D53" s="32"/>
    </row>
    <row r="54" spans="3:4" x14ac:dyDescent="0.55000000000000004">
      <c r="C54" s="32"/>
      <c r="D54" s="32"/>
    </row>
    <row r="55" spans="3:4" x14ac:dyDescent="0.55000000000000004">
      <c r="C55" s="32"/>
      <c r="D55" s="32"/>
    </row>
    <row r="56" spans="3:4" x14ac:dyDescent="0.55000000000000004">
      <c r="C56" s="32"/>
      <c r="D56" s="32"/>
    </row>
    <row r="57" spans="3:4" x14ac:dyDescent="0.55000000000000004">
      <c r="C57" s="32"/>
      <c r="D57" s="32"/>
    </row>
    <row r="58" spans="3:4" x14ac:dyDescent="0.55000000000000004">
      <c r="C58" s="32"/>
      <c r="D58" s="32"/>
    </row>
    <row r="59" spans="3:4" x14ac:dyDescent="0.55000000000000004">
      <c r="C59" s="32"/>
      <c r="D59" s="32"/>
    </row>
    <row r="60" spans="3:4" x14ac:dyDescent="0.55000000000000004">
      <c r="C60" s="32"/>
      <c r="D60" s="32"/>
    </row>
    <row r="61" spans="3:4" x14ac:dyDescent="0.55000000000000004">
      <c r="C61" s="32"/>
      <c r="D61" s="32"/>
    </row>
    <row r="62" spans="3:4" x14ac:dyDescent="0.55000000000000004">
      <c r="C62" s="32"/>
      <c r="D62" s="32"/>
    </row>
  </sheetData>
  <sortState xmlns:xlrd2="http://schemas.microsoft.com/office/spreadsheetml/2017/richdata2" ref="AW6:AW28">
    <sortCondition ref="AW6"/>
  </sortState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演習問題１（フィボナッチ数の生成）</vt:lpstr>
      <vt:lpstr>【解答】演習問題１（フィボナッチ数の生成）</vt:lpstr>
      <vt:lpstr>演習問題２（黄金比に近づける）</vt:lpstr>
      <vt:lpstr>【解答】演習問題２（黄金比に近づける）</vt:lpstr>
      <vt:lpstr>演習問題３（葉のつき方）</vt:lpstr>
      <vt:lpstr>演習問題４（ひまわりシミュレーション）</vt:lpstr>
      <vt:lpstr>【解答】演習問題４（ひまわりシミュレーション）</vt:lpstr>
      <vt:lpstr>花びらのバランスに関する分析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2020-07-01T04:09:54Z</dcterms:created>
  <dcterms:modified xsi:type="dcterms:W3CDTF">2020-07-16T09:47:42Z</dcterms:modified>
</cp:coreProperties>
</file>